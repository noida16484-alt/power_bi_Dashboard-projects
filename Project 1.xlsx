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ata" sheetId="1" r:id="rId5"/>
    <sheet state="visible" name="Sheet2" sheetId="2" r:id="rId6"/>
  </sheets>
  <definedNames>
    <definedName hidden="1" localSheetId="0" name="Z_C32D4791_11A4_4736_9A5C_1250122F1203_.wvu.FilterData">'sales Data'!$A$1:$H$344</definedName>
    <definedName hidden="1" localSheetId="0" name="Z_C32D4791_11A4_4736_9A5C_1250122F1203_.wvu.FilterData">'sales Data'!$A$1:$J$343</definedName>
    <definedName name="SlicerCache_Table_1_Col_1">#N/A</definedName>
    <definedName name="SlicerCache_Table_1_Col_2">#N/A</definedName>
    <definedName name="SlicerCache_Table_1_Col_3">#N/A</definedName>
    <definedName name="SlicerCache_Table_1_Col_4">#N/A</definedName>
    <definedName name="SlicerCache_Table_1_Col_8">#N/A</definedName>
  </definedNames>
  <calcPr/>
  <customWorkbookViews>
    <customWorkbookView activeSheetId="0" maximized="1" windowHeight="0" windowWidth="0" guid="{C32D4791-11A4-4736-9A5C-1250122F1203}" name="Filter 1"/>
  </customWorkbookViews>
  <extLst>
    <ext uri="{46BE6895-7355-4a93-B00E-2C351335B9C9}">
      <x15:slicerCaches>
        <x14:slicerCache r:id="rId7"/>
        <x14:slicerCache r:id="rId8"/>
        <x14:slicerCache r:id="rId9"/>
        <x14:slicerCache r:id="rId10"/>
        <x14:slicerCache r:id="rId11"/>
      </x15:slicerCaches>
    </ext>
  </extLst>
</workbook>
</file>

<file path=xl/sharedStrings.xml><?xml version="1.0" encoding="utf-8"?>
<sst xmlns="http://schemas.openxmlformats.org/spreadsheetml/2006/main" count="1237" uniqueCount="178">
  <si>
    <t>Date</t>
  </si>
  <si>
    <t>Salesman</t>
  </si>
  <si>
    <t>Item Name</t>
  </si>
  <si>
    <t>Compony</t>
  </si>
  <si>
    <t>Qty</t>
  </si>
  <si>
    <t>Fist yearAmount</t>
  </si>
  <si>
    <t>Next year</t>
  </si>
  <si>
    <t>Year</t>
  </si>
  <si>
    <t xml:space="preserve">Discount </t>
  </si>
  <si>
    <t>Loss %</t>
  </si>
  <si>
    <t>23-01-2018</t>
  </si>
  <si>
    <t>Vinod</t>
  </si>
  <si>
    <t>Laptop</t>
  </si>
  <si>
    <t>Dell</t>
  </si>
  <si>
    <t>Rahul</t>
  </si>
  <si>
    <t>Mobile</t>
  </si>
  <si>
    <t>Apple</t>
  </si>
  <si>
    <t>Ram</t>
  </si>
  <si>
    <t>Computer</t>
  </si>
  <si>
    <t>Hp</t>
  </si>
  <si>
    <t>Rohit</t>
  </si>
  <si>
    <t>Aman</t>
  </si>
  <si>
    <t>22-04-2019</t>
  </si>
  <si>
    <t>19-04-2019</t>
  </si>
  <si>
    <t>20-04-2019</t>
  </si>
  <si>
    <t>Hcl</t>
  </si>
  <si>
    <t>25-04-2019</t>
  </si>
  <si>
    <t>24-04-2019</t>
  </si>
  <si>
    <t>23-04-2019</t>
  </si>
  <si>
    <t>22-04-2017</t>
  </si>
  <si>
    <t>21-04-2019</t>
  </si>
  <si>
    <t>13-02-2019</t>
  </si>
  <si>
    <t>14-02-2019</t>
  </si>
  <si>
    <t>15-02-2019</t>
  </si>
  <si>
    <t>16-02-2019</t>
  </si>
  <si>
    <t>17-02-2019</t>
  </si>
  <si>
    <t>18-02-2019</t>
  </si>
  <si>
    <t>19-02-2019</t>
  </si>
  <si>
    <t>20-02-2019</t>
  </si>
  <si>
    <t>21-02-2019</t>
  </si>
  <si>
    <t>22-02-2019</t>
  </si>
  <si>
    <t>23-02-2019</t>
  </si>
  <si>
    <t>24-02-2019</t>
  </si>
  <si>
    <t>25-02-2022</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</si>
  <si>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</si>
  <si>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</si>
  <si>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</si>
  <si>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</si>
  <si>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</si>
  <si>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</si>
  <si>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</si>
  <si>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</si>
  <si>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</si>
  <si>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</si>
  <si>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</si>
  <si>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</si>
  <si>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</si>
  <si>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</si>
  <si>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</si>
  <si>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</si>
  <si>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</si>
  <si>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</si>
  <si>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</si>
  <si>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27-04-2019</t>
  </si>
  <si>
    <t>28-04-2019</t>
  </si>
  <si>
    <t>29-04-2019</t>
  </si>
  <si>
    <t>30-04-2019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</si>
  <si>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</si>
  <si>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</si>
  <si>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</si>
  <si>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</si>
  <si>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</si>
  <si>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</si>
  <si>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</si>
  <si>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</si>
  <si>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</si>
  <si>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</si>
  <si>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</si>
  <si>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</si>
  <si>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</si>
  <si>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</si>
  <si>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</si>
  <si>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</si>
  <si>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</si>
  <si>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</si>
  <si>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</si>
  <si>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</si>
  <si>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</si>
  <si>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</si>
  <si>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</si>
  <si>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</si>
  <si>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</si>
  <si>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</si>
  <si>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</si>
  <si>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</si>
  <si>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</si>
  <si>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</si>
  <si>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</si>
  <si>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</si>
  <si>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</si>
  <si>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</si>
  <si>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</si>
  <si>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</si>
  <si>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</si>
  <si>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13-07-2019</t>
  </si>
  <si>
    <t>14-07-2019</t>
  </si>
  <si>
    <t>15-07-2019</t>
  </si>
  <si>
    <t>16-07-2019</t>
  </si>
  <si>
    <t>17-07-2019</t>
  </si>
  <si>
    <t>18-07-2019</t>
  </si>
  <si>
    <t>19-07-2019</t>
  </si>
  <si>
    <t>20-07-2021</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</si>
  <si>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</si>
  <si>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</si>
  <si>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</si>
  <si>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</si>
  <si>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</si>
  <si>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</si>
  <si>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</si>
  <si>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</si>
  <si>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</si>
  <si>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</si>
  <si>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</si>
  <si>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</si>
  <si>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</si>
  <si>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</si>
  <si>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</si>
  <si>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</si>
  <si>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</si>
  <si>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</si>
  <si>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</si>
  <si>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</si>
  <si>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</si>
  <si>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</si>
  <si>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</si>
  <si>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</si>
  <si>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</si>
  <si>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</si>
  <si>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</si>
  <si>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</si>
  <si>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</si>
  <si>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</si>
  <si>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</si>
  <si>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</si>
  <si>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</si>
  <si>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</si>
  <si>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</si>
  <si>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</si>
  <si>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</si>
  <si>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</si>
  <si>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</si>
  <si>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</si>
  <si>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</si>
  <si>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</si>
  <si>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</si>
  <si>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</si>
  <si>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</si>
  <si>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</si>
  <si>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</si>
  <si>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</si>
  <si>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</si>
  <si>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</si>
  <si>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</si>
  <si>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</si>
  <si>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</si>
  <si>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</si>
  <si>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</si>
  <si>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</si>
  <si>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13-12-2019</t>
  </si>
  <si>
    <t>14-12-2019</t>
  </si>
  <si>
    <t>15-12-2019</t>
  </si>
  <si>
    <t>16-12-2019</t>
  </si>
  <si>
    <t>17-12-2019</t>
  </si>
  <si>
    <t>18-12-2019</t>
  </si>
  <si>
    <t>19-12-2019</t>
  </si>
  <si>
    <t>20-12-2019</t>
  </si>
  <si>
    <t>21-12-2019</t>
  </si>
  <si>
    <t>Intractive sales Dashboard Reports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</si>
</sst>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6">
    <font>
      <sz val="10.0"/>
      <color rgb="FF000000"/>
      <name val="Arial"/>
      <scheme val="minor"/>
    </font>
    <font>
      <sz val="14.0"/>
      <color rgb="FF000000"/>
      <name val="Calibri"/>
    </font>
    <font>
      <color theme="1"/>
      <name val="Arial"/>
      <scheme val="minor"/>
    </font>
    <font>
      <sz val="11.0"/>
      <color theme="1"/>
      <name val="Calibri"/>
    </font>
    <font>
      <sz val="16.0"/>
      <color rgb="FF000000"/>
      <name val="Calibri"/>
    </font>
    <font>
      <sz val="17.0"/>
      <color rgb="FFFFFFFF"/>
      <name val="Arial"/>
      <scheme val="minor"/>
    </font>
  </fonts>
  <fills count="8">
    <fill>
      <patternFill patternType="none"/>
    </fill>
    <fill>
      <patternFill patternType="lightGray"/>
    </fill>
    <fill>
      <patternFill patternType="solid">
        <fgColor rgb="FFFCE4D6"/>
        <bgColor rgb="FFFCE4D6"/>
      </patternFill>
    </fill>
    <fill>
      <patternFill patternType="solid">
        <fgColor rgb="FFEAD1DC"/>
        <bgColor rgb="FFEAD1DC"/>
      </patternFill>
    </fill>
    <fill>
      <patternFill patternType="solid">
        <fgColor rgb="FFFFFFFF"/>
        <bgColor rgb="FFFFFFFF"/>
      </patternFill>
    </fill>
    <fill>
      <patternFill patternType="solid">
        <fgColor rgb="FF6FA8DC"/>
        <bgColor rgb="FF6FA8DC"/>
      </patternFill>
    </fill>
    <fill>
      <patternFill patternType="solid">
        <fgColor rgb="FFCCCCCC"/>
        <bgColor rgb="FFCCCCCC"/>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1" numFmtId="0" xfId="0" applyAlignment="1" applyBorder="1" applyFill="1" applyFont="1">
      <alignment horizontal="left" readingOrder="0" shrinkToFit="0" vertical="bottom" wrapText="0"/>
    </xf>
    <xf borderId="1" fillId="2" fontId="1" numFmtId="0" xfId="0" applyAlignment="1" applyBorder="1" applyFill="1" applyFont="1">
      <alignment readingOrder="0" shrinkToFit="0" vertical="bottom" wrapText="0"/>
    </xf>
    <xf borderId="0" fillId="3" fontId="2" numFmtId="0" xfId="0" applyAlignment="1" applyFill="1" applyFont="1">
      <alignment readingOrder="0"/>
    </xf>
    <xf borderId="0" fillId="3" fontId="3" numFmtId="0" xfId="0" applyAlignment="1" applyFill="1" applyFont="1">
      <alignment horizontal="right" readingOrder="0" vertical="bottom"/>
    </xf>
    <xf borderId="1" fillId="4" fontId="4" numFmtId="0" xfId="0" applyAlignment="1" applyBorder="1" applyFill="1" applyFont="1">
      <alignment horizontal="center" readingOrder="0" shrinkToFit="0" vertical="bottom" wrapText="0"/>
    </xf>
    <xf borderId="1" fillId="4" fontId="4" numFmtId="0" xfId="0" applyAlignment="1" applyBorder="1" applyFill="1" applyFont="1">
      <alignment readingOrder="0" shrinkToFit="0" vertical="bottom" wrapText="0"/>
    </xf>
    <xf borderId="1" fillId="0" fontId="4" numFmtId="0" xfId="0" applyAlignment="1" applyBorder="1" applyFont="1">
      <alignment horizontal="right" readingOrder="0" shrinkToFit="0" vertical="bottom" wrapText="0"/>
    </xf>
    <xf borderId="0" fillId="0" fontId="3" numFmtId="0" xfId="0" applyAlignment="1" applyFont="1">
      <alignment readingOrder="0" vertical="bottom"/>
    </xf>
    <xf borderId="0" fillId="0" fontId="3" numFmtId="0" xfId="0" applyAlignment="1" applyFont="1">
      <alignment vertical="bottom"/>
    </xf>
    <xf borderId="0" fillId="0" fontId="2" numFmtId="0" xfId="0" applyFont="1"/>
    <xf borderId="0" fillId="0" fontId="3" numFmtId="9" xfId="0" applyAlignment="1" applyFont="1" applyNumberFormat="1">
      <alignment horizontal="right" vertical="bottom"/>
    </xf>
    <xf borderId="1" fillId="4" fontId="4" numFmtId="164" xfId="0" applyAlignment="1" applyBorder="1" applyFill="1" applyFont="1" applyNumberFormat="1">
      <alignment horizontal="center" readingOrder="0" shrinkToFit="0" vertical="bottom" wrapText="0"/>
    </xf>
    <xf borderId="1" fillId="4" fontId="4" numFmtId="165" xfId="0" applyAlignment="1" applyBorder="1" applyFill="1" applyFont="1" applyNumberFormat="1">
      <alignment horizontal="center" readingOrder="0" shrinkToFit="0" vertical="bottom" wrapText="0"/>
    </xf>
    <xf borderId="0" fillId="5" fontId="5" numFmtId="0" xfId="0" applyAlignment="1" applyFill="1" applyFont="1">
      <alignment horizontal="center" readingOrder="0"/>
    </xf>
    <xf borderId="0" fillId="6" fontId="2" numFmtId="0" xfId="0" applyFill="1" applyFont="1"/>
    <xf borderId="0" fillId="7"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5.xml"/><Relationship Id="rId10" Type="http://schemas.microsoft.com/office/2007/relationships/slicerCache" Target="slicerCaches/slicerCache4.xml"/><Relationship Id="rId9"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4</xdr:row>
      <xdr:rowOff>28575</xdr:rowOff>
    </xdr:from>
    <xdr:ext cx="2124075" cy="704850"/>
    <xdr:pic>
      <xdr:nvPicPr>
        <xdr:cNvPr id="203666260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438150</xdr:colOff>
      <xdr:row>4</xdr:row>
      <xdr:rowOff>28575</xdr:rowOff>
    </xdr:from>
    <xdr:ext cx="1952625" cy="704850"/>
    <xdr:pic>
      <xdr:nvPicPr>
        <xdr:cNvPr id="166531882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742950</xdr:colOff>
      <xdr:row>4</xdr:row>
      <xdr:rowOff>28575</xdr:rowOff>
    </xdr:from>
    <xdr:ext cx="2343150" cy="704850"/>
    <xdr:pic>
      <xdr:nvPicPr>
        <xdr:cNvPr id="40178673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466725</xdr:colOff>
      <xdr:row>4</xdr:row>
      <xdr:rowOff>28575</xdr:rowOff>
    </xdr:from>
    <xdr:ext cx="2124075" cy="704850"/>
    <xdr:pic>
      <xdr:nvPicPr>
        <xdr:cNvPr id="951681952"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66675</xdr:colOff>
      <xdr:row>8</xdr:row>
      <xdr:rowOff>85725</xdr:rowOff>
    </xdr:from>
    <xdr:ext cx="4248150" cy="2190750"/>
    <xdr:pic>
      <xdr:nvPicPr>
        <xdr:cNvPr id="35826769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742950</xdr:colOff>
      <xdr:row>8</xdr:row>
      <xdr:rowOff>85725</xdr:rowOff>
    </xdr:from>
    <xdr:ext cx="4724400" cy="2190750"/>
    <xdr:pic>
      <xdr:nvPicPr>
        <xdr:cNvPr id="1519100069"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xdr:row>
      <xdr:rowOff>38100</xdr:rowOff>
    </xdr:from>
    <xdr:ext cx="1743075" cy="2857500"/>
    <mc:AlternateContent>
      <mc:Choice Requires="sle15">
        <xdr:graphicFrame>
          <xdr:nvGraphicFramePr>
            <xdr:cNvPr id="1" name="Year_1"/>
            <xdr:cNvGraphicFramePr/>
          </xdr:nvGraphicFramePr>
          <xdr:xfrm>
            <a:off x="0" y="0"/>
            <a:ext cx="0" cy="0"/>
          </xdr:xfrm>
          <a:graphic>
            <a:graphicData uri="http://schemas.microsoft.com/office/drawing/2010/slicer">
              <x3Unk:slicer name="Yea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923925</xdr:colOff>
      <xdr:row>1</xdr:row>
      <xdr:rowOff>38100</xdr:rowOff>
    </xdr:from>
    <xdr:ext cx="1838325" cy="2857500"/>
    <mc:AlternateContent>
      <mc:Choice Requires="sle15">
        <xdr:graphicFrame>
          <xdr:nvGraphicFramePr>
            <xdr:cNvPr id="2" name="Date_2"/>
            <xdr:cNvGraphicFramePr/>
          </xdr:nvGraphicFramePr>
          <xdr:xfrm>
            <a:off x="0" y="0"/>
            <a:ext cx="0" cy="0"/>
          </xdr:xfrm>
          <a:graphic>
            <a:graphicData uri="http://schemas.microsoft.com/office/drawing/2010/slicer">
              <x3Unk:slicer name="Da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19050</xdr:colOff>
      <xdr:row>1</xdr:row>
      <xdr:rowOff>38100</xdr:rowOff>
    </xdr:from>
    <xdr:ext cx="1781175" cy="2857500"/>
    <mc:AlternateContent>
      <mc:Choice Requires="sle15">
        <xdr:graphicFrame>
          <xdr:nvGraphicFramePr>
            <xdr:cNvPr id="3" name="Item Name_3"/>
            <xdr:cNvGraphicFramePr/>
          </xdr:nvGraphicFramePr>
          <xdr:xfrm>
            <a:off x="0" y="0"/>
            <a:ext cx="0" cy="0"/>
          </xdr:xfrm>
          <a:graphic>
            <a:graphicData uri="http://schemas.microsoft.com/office/drawing/2010/slicer">
              <x3Unk:slicer name="Item 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904875</xdr:colOff>
      <xdr:row>1</xdr:row>
      <xdr:rowOff>38100</xdr:rowOff>
    </xdr:from>
    <xdr:ext cx="1952625" cy="2857500"/>
    <mc:AlternateContent>
      <mc:Choice Requires="sle15">
        <xdr:graphicFrame>
          <xdr:nvGraphicFramePr>
            <xdr:cNvPr id="4" name="Compony_4"/>
            <xdr:cNvGraphicFramePr/>
          </xdr:nvGraphicFramePr>
          <xdr:xfrm>
            <a:off x="0" y="0"/>
            <a:ext cx="0" cy="0"/>
          </xdr:xfrm>
          <a:graphic>
            <a:graphicData uri="http://schemas.microsoft.com/office/drawing/2010/slicer">
              <x3Unk:slicer name="Compon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114300</xdr:colOff>
      <xdr:row>1</xdr:row>
      <xdr:rowOff>38100</xdr:rowOff>
    </xdr:from>
    <xdr:ext cx="1781175" cy="2857500"/>
    <mc:AlternateContent>
      <mc:Choice Requires="sle15">
        <xdr:graphicFrame>
          <xdr:nvGraphicFramePr>
            <xdr:cNvPr id="5" name="Salesman_5"/>
            <xdr:cNvGraphicFramePr/>
          </xdr:nvGraphicFramePr>
          <xdr:xfrm>
            <a:off x="0" y="0"/>
            <a:ext cx="0" cy="0"/>
          </xdr:xfrm>
          <a:graphic>
            <a:graphicData uri="http://schemas.microsoft.com/office/drawing/2010/slicer">
              <x3Unk:slicer name="Salesman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at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alesman">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Item Name">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ompony">
  <x14:extLst>
    <ext uri="{2F2917AC-EB37-4324-AD4E-5DD8C200BD13}">
      <x15:tableSlicerCache tableId="1" column="4"/>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Year">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Year_1" cache="SlicerCache_Table_1_Col_8" caption="Year" rowHeight="247650"/>
  <x14:slicer name="Date_2" cache="SlicerCache_Table_1_Col_1" caption="Date" rowHeight="247650"/>
  <x14:slicer name="Item Name_3" cache="SlicerCache_Table_1_Col_3" caption="Item Name" rowHeight="247650"/>
  <x14:slicer name="Compony_4" cache="SlicerCache_Table_1_Col_4" caption="Compony" rowHeight="247650"/>
  <x14:slicer name="Salesman_5" cache="SlicerCache_Table_1_Col_2" caption="Salesman" rowHeight="247650"/>
</x14:slicers>
</file>

<file path=xl/tables/table1.xml><?xml version="1.0" encoding="utf-8"?>
<table xmlns="http://schemas.openxmlformats.org/spreadsheetml/2006/main" ref="A1:H344" displayName="Table_1" name="Table_1" id="1">
  <autoFilter ref="$A$1:$H$344"/>
  <tableColumns count="8">
    <tableColumn name="Date" id="1"/>
    <tableColumn name="Salesman" id="2"/>
    <tableColumn name="Item Name" id="3"/>
    <tableColumn name="Compony" id="4"/>
    <tableColumn name="Qty" id="5"/>
    <tableColumn name="Fist yearAmount" id="6"/>
    <tableColumn name="Next year" id="7"/>
    <tableColumn name="Year"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6" max="6" width="16.63"/>
  </cols>
  <sheetData>
    <row r="1">
      <c r="A1" s="1" t="s">
        <v>0</v>
      </c>
      <c r="B1" s="2" t="s">
        <v>1</v>
      </c>
      <c r="C1" s="3" t="s">
        <v>2</v>
      </c>
      <c r="D1" s="3" t="s">
        <v>3</v>
      </c>
      <c r="E1" s="3" t="s">
        <v>4</v>
      </c>
      <c r="F1" s="3" t="s">
        <v>5</v>
      </c>
      <c r="G1" s="4" t="s">
        <v>6</v>
      </c>
      <c r="H1" s="5" t="s">
        <v>7</v>
      </c>
      <c r="I1" s="4" t="s">
        <v>8</v>
      </c>
      <c r="J1" s="4" t="s">
        <v>9</v>
      </c>
    </row>
    <row r="2">
      <c r="A2" s="6" t="s">
        <v>10</v>
      </c>
      <c r="B2" s="7" t="s">
        <v>11</v>
      </c>
      <c r="C2" s="7" t="s">
        <v>12</v>
      </c>
      <c r="D2" s="7" t="s">
        <v>13</v>
      </c>
      <c r="E2" s="8">
        <v>3.0</v>
      </c>
      <c r="F2" s="8">
        <v>1000.0</v>
      </c>
      <c r="G2" s="9">
        <v>500.0</v>
      </c>
      <c r="H2" s="10">
        <v>2018.0</v>
      </c>
      <c r="I2" s="11">
        <f t="shared" ref="I2:I343" si="1">F2*10/100</f>
        <v>100</v>
      </c>
      <c r="J2" s="12">
        <v>0.5</v>
      </c>
    </row>
    <row r="3">
      <c r="A3" s="6" t="s">
        <v>10</v>
      </c>
      <c r="B3" s="7" t="s">
        <v>14</v>
      </c>
      <c r="C3" s="7" t="s">
        <v>15</v>
      </c>
      <c r="D3" s="7" t="s">
        <v>16</v>
      </c>
      <c r="E3" s="8">
        <v>4.0</v>
      </c>
      <c r="F3" s="8">
        <v>7800.0</v>
      </c>
      <c r="G3" s="10">
        <f t="shared" ref="G3:G17" si="2">F3/2</f>
        <v>3900</v>
      </c>
      <c r="H3" s="10">
        <v>2018.0</v>
      </c>
      <c r="I3" s="11">
        <f t="shared" si="1"/>
        <v>780</v>
      </c>
      <c r="J3" s="12">
        <v>0.5</v>
      </c>
    </row>
    <row r="4">
      <c r="A4" s="6" t="s">
        <v>10</v>
      </c>
      <c r="B4" s="7" t="s">
        <v>17</v>
      </c>
      <c r="C4" s="7" t="s">
        <v>18</v>
      </c>
      <c r="D4" s="7" t="s">
        <v>19</v>
      </c>
      <c r="E4" s="8">
        <v>5.0</v>
      </c>
      <c r="F4" s="8">
        <v>3000.0</v>
      </c>
      <c r="G4" s="10">
        <f t="shared" si="2"/>
        <v>1500</v>
      </c>
      <c r="H4" s="10">
        <v>2018.0</v>
      </c>
      <c r="I4" s="11">
        <f t="shared" si="1"/>
        <v>300</v>
      </c>
      <c r="J4" s="12">
        <v>0.5</v>
      </c>
    </row>
    <row r="5">
      <c r="A5" s="6" t="s">
        <v>10</v>
      </c>
      <c r="B5" s="7" t="s">
        <v>20</v>
      </c>
      <c r="C5" s="7" t="s">
        <v>12</v>
      </c>
      <c r="D5" s="7" t="s">
        <v>13</v>
      </c>
      <c r="E5" s="8">
        <v>4.0</v>
      </c>
      <c r="F5" s="8">
        <v>2300.0</v>
      </c>
      <c r="G5" s="10">
        <f t="shared" si="2"/>
        <v>1150</v>
      </c>
      <c r="H5" s="10">
        <v>2018.0</v>
      </c>
      <c r="I5" s="11">
        <f t="shared" si="1"/>
        <v>230</v>
      </c>
      <c r="J5" s="12">
        <v>0.5</v>
      </c>
    </row>
    <row r="6">
      <c r="A6" s="6" t="s">
        <v>10</v>
      </c>
      <c r="B6" s="7" t="s">
        <v>21</v>
      </c>
      <c r="C6" s="7" t="s">
        <v>15</v>
      </c>
      <c r="D6" s="7" t="s">
        <v>13</v>
      </c>
      <c r="E6" s="8">
        <v>3.0</v>
      </c>
      <c r="F6" s="8">
        <v>7000.0</v>
      </c>
      <c r="G6" s="10">
        <f t="shared" si="2"/>
        <v>3500</v>
      </c>
      <c r="H6" s="10">
        <v>2018.0</v>
      </c>
      <c r="I6" s="11">
        <f t="shared" si="1"/>
        <v>700</v>
      </c>
      <c r="J6" s="12">
        <v>0.5</v>
      </c>
    </row>
    <row r="7">
      <c r="A7" s="6" t="s">
        <v>10</v>
      </c>
      <c r="B7" s="7" t="s">
        <v>11</v>
      </c>
      <c r="C7" s="7" t="s">
        <v>18</v>
      </c>
      <c r="D7" s="7" t="s">
        <v>16</v>
      </c>
      <c r="E7" s="8">
        <v>3.0</v>
      </c>
      <c r="F7" s="8">
        <v>1200.0</v>
      </c>
      <c r="G7" s="10">
        <f t="shared" si="2"/>
        <v>600</v>
      </c>
      <c r="H7" s="10">
        <v>2018.0</v>
      </c>
      <c r="I7" s="11">
        <f t="shared" si="1"/>
        <v>120</v>
      </c>
      <c r="J7" s="12">
        <v>0.5</v>
      </c>
    </row>
    <row r="8">
      <c r="A8" s="6" t="s">
        <v>10</v>
      </c>
      <c r="B8" s="7" t="s">
        <v>14</v>
      </c>
      <c r="C8" s="7" t="s">
        <v>12</v>
      </c>
      <c r="D8" s="7" t="s">
        <v>19</v>
      </c>
      <c r="E8" s="8">
        <v>4.0</v>
      </c>
      <c r="F8" s="8">
        <v>2507.0</v>
      </c>
      <c r="G8" s="10">
        <f t="shared" si="2"/>
        <v>1253.5</v>
      </c>
      <c r="H8" s="10">
        <v>2018.0</v>
      </c>
      <c r="I8" s="11">
        <f t="shared" si="1"/>
        <v>250.7</v>
      </c>
      <c r="J8" s="12">
        <v>0.5</v>
      </c>
    </row>
    <row r="9">
      <c r="A9" s="6" t="s">
        <v>22</v>
      </c>
      <c r="B9" s="7" t="s">
        <v>17</v>
      </c>
      <c r="C9" s="7" t="s">
        <v>15</v>
      </c>
      <c r="D9" s="7" t="s">
        <v>16</v>
      </c>
      <c r="E9" s="8">
        <v>5.0</v>
      </c>
      <c r="F9" s="8">
        <v>2618.0</v>
      </c>
      <c r="G9" s="10">
        <f t="shared" si="2"/>
        <v>1309</v>
      </c>
      <c r="H9" s="10">
        <v>2019.0</v>
      </c>
      <c r="I9" s="11">
        <f t="shared" si="1"/>
        <v>261.8</v>
      </c>
      <c r="J9" s="12">
        <v>0.5</v>
      </c>
    </row>
    <row r="10">
      <c r="A10" s="6" t="s">
        <v>23</v>
      </c>
      <c r="B10" s="7" t="s">
        <v>20</v>
      </c>
      <c r="C10" s="7" t="s">
        <v>18</v>
      </c>
      <c r="D10" s="7" t="s">
        <v>16</v>
      </c>
      <c r="E10" s="8">
        <v>6.0</v>
      </c>
      <c r="F10" s="8">
        <v>2730.0</v>
      </c>
      <c r="G10" s="10">
        <f t="shared" si="2"/>
        <v>1365</v>
      </c>
      <c r="H10" s="10">
        <v>2019.0</v>
      </c>
      <c r="I10" s="11">
        <f t="shared" si="1"/>
        <v>273</v>
      </c>
      <c r="J10" s="12">
        <v>0.5</v>
      </c>
    </row>
    <row r="11">
      <c r="A11" s="6" t="s">
        <v>24</v>
      </c>
      <c r="B11" s="7" t="s">
        <v>21</v>
      </c>
      <c r="C11" s="7" t="s">
        <v>12</v>
      </c>
      <c r="D11" s="7" t="s">
        <v>25</v>
      </c>
      <c r="E11" s="8">
        <v>7.0</v>
      </c>
      <c r="F11" s="8">
        <v>2841.0</v>
      </c>
      <c r="G11" s="10">
        <f t="shared" si="2"/>
        <v>1420.5</v>
      </c>
      <c r="H11" s="10">
        <v>2019.0</v>
      </c>
      <c r="I11" s="11">
        <f t="shared" si="1"/>
        <v>284.1</v>
      </c>
      <c r="J11" s="12">
        <v>0.5</v>
      </c>
    </row>
    <row r="12">
      <c r="A12" s="6" t="s">
        <v>26</v>
      </c>
      <c r="B12" s="7" t="s">
        <v>11</v>
      </c>
      <c r="C12" s="7" t="s">
        <v>15</v>
      </c>
      <c r="D12" s="7" t="s">
        <v>16</v>
      </c>
      <c r="E12" s="8">
        <v>6.0</v>
      </c>
      <c r="F12" s="8">
        <v>4500.0</v>
      </c>
      <c r="G12" s="10">
        <f t="shared" si="2"/>
        <v>2250</v>
      </c>
      <c r="H12" s="10">
        <v>2019.0</v>
      </c>
      <c r="I12" s="11">
        <f t="shared" si="1"/>
        <v>450</v>
      </c>
      <c r="J12" s="12">
        <v>0.5</v>
      </c>
    </row>
    <row r="13">
      <c r="A13" s="6" t="s">
        <v>27</v>
      </c>
      <c r="B13" s="7" t="s">
        <v>14</v>
      </c>
      <c r="C13" s="7" t="s">
        <v>18</v>
      </c>
      <c r="D13" s="7" t="s">
        <v>19</v>
      </c>
      <c r="E13" s="8">
        <v>7.0</v>
      </c>
      <c r="F13" s="8">
        <v>3064.0</v>
      </c>
      <c r="G13" s="10">
        <f t="shared" si="2"/>
        <v>1532</v>
      </c>
      <c r="H13" s="10">
        <v>2019.0</v>
      </c>
      <c r="I13" s="11">
        <f t="shared" si="1"/>
        <v>306.4</v>
      </c>
      <c r="J13" s="12">
        <v>0.5</v>
      </c>
    </row>
    <row r="14">
      <c r="A14" s="6" t="s">
        <v>28</v>
      </c>
      <c r="B14" s="7" t="s">
        <v>17</v>
      </c>
      <c r="C14" s="7" t="s">
        <v>12</v>
      </c>
      <c r="D14" s="7" t="s">
        <v>13</v>
      </c>
      <c r="E14" s="8">
        <v>7.0</v>
      </c>
      <c r="F14" s="8">
        <v>3175.0</v>
      </c>
      <c r="G14" s="10">
        <f t="shared" si="2"/>
        <v>1587.5</v>
      </c>
      <c r="H14" s="10">
        <v>2019.0</v>
      </c>
      <c r="I14" s="11">
        <f t="shared" si="1"/>
        <v>317.5</v>
      </c>
      <c r="J14" s="12">
        <v>0.5</v>
      </c>
    </row>
    <row r="15">
      <c r="A15" s="6" t="s">
        <v>27</v>
      </c>
      <c r="B15" s="7" t="s">
        <v>20</v>
      </c>
      <c r="C15" s="7" t="s">
        <v>15</v>
      </c>
      <c r="D15" s="7" t="s">
        <v>16</v>
      </c>
      <c r="E15" s="8">
        <v>7.0</v>
      </c>
      <c r="F15" s="8">
        <v>3287.0</v>
      </c>
      <c r="G15" s="10">
        <f t="shared" si="2"/>
        <v>1643.5</v>
      </c>
      <c r="H15" s="10">
        <v>2019.0</v>
      </c>
      <c r="I15" s="11">
        <f t="shared" si="1"/>
        <v>328.7</v>
      </c>
      <c r="J15" s="12">
        <v>0.5</v>
      </c>
    </row>
    <row r="16">
      <c r="A16" s="6" t="s">
        <v>26</v>
      </c>
      <c r="B16" s="7" t="s">
        <v>21</v>
      </c>
      <c r="C16" s="7" t="s">
        <v>18</v>
      </c>
      <c r="D16" s="7" t="s">
        <v>19</v>
      </c>
      <c r="E16" s="8">
        <v>8.0</v>
      </c>
      <c r="F16" s="8">
        <v>3398.0</v>
      </c>
      <c r="G16" s="10">
        <f t="shared" si="2"/>
        <v>1699</v>
      </c>
      <c r="H16" s="10">
        <v>2019.0</v>
      </c>
      <c r="I16" s="11">
        <f t="shared" si="1"/>
        <v>339.8</v>
      </c>
      <c r="J16" s="12">
        <v>0.5</v>
      </c>
    </row>
    <row r="17">
      <c r="A17" s="6" t="s">
        <v>26</v>
      </c>
      <c r="B17" s="7" t="s">
        <v>11</v>
      </c>
      <c r="C17" s="7" t="s">
        <v>12</v>
      </c>
      <c r="D17" s="7" t="s">
        <v>13</v>
      </c>
      <c r="E17" s="8">
        <v>8.0</v>
      </c>
      <c r="F17" s="8">
        <v>3510.0</v>
      </c>
      <c r="G17" s="10">
        <f t="shared" si="2"/>
        <v>1755</v>
      </c>
      <c r="H17" s="10">
        <v>2019.0</v>
      </c>
      <c r="I17" s="11">
        <f t="shared" si="1"/>
        <v>351</v>
      </c>
      <c r="J17" s="12">
        <v>0.5</v>
      </c>
    </row>
    <row r="18">
      <c r="A18" s="6" t="s">
        <v>28</v>
      </c>
      <c r="B18" s="7" t="s">
        <v>14</v>
      </c>
      <c r="C18" s="7" t="s">
        <v>15</v>
      </c>
      <c r="D18" s="7" t="s">
        <v>25</v>
      </c>
      <c r="E18" s="8">
        <v>8.0</v>
      </c>
      <c r="F18" s="8">
        <v>3621.0</v>
      </c>
      <c r="G18" s="10">
        <f t="shared" ref="G18:G34" si="3">F18/5</f>
        <v>724.2</v>
      </c>
      <c r="H18" s="10">
        <v>2019.0</v>
      </c>
      <c r="I18" s="11">
        <f t="shared" si="1"/>
        <v>362.1</v>
      </c>
      <c r="J18" s="12">
        <v>0.8</v>
      </c>
    </row>
    <row r="19">
      <c r="A19" s="6" t="s">
        <v>27</v>
      </c>
      <c r="B19" s="7" t="s">
        <v>17</v>
      </c>
      <c r="C19" s="7" t="s">
        <v>18</v>
      </c>
      <c r="D19" s="7" t="s">
        <v>16</v>
      </c>
      <c r="E19" s="8">
        <v>8.0</v>
      </c>
      <c r="F19" s="8">
        <v>3732.0</v>
      </c>
      <c r="G19" s="10">
        <f t="shared" si="3"/>
        <v>746.4</v>
      </c>
      <c r="H19" s="10">
        <v>2019.0</v>
      </c>
      <c r="I19" s="11">
        <f t="shared" si="1"/>
        <v>373.2</v>
      </c>
      <c r="J19" s="12">
        <v>0.7999999999999999</v>
      </c>
    </row>
    <row r="20">
      <c r="A20" s="6" t="s">
        <v>29</v>
      </c>
      <c r="B20" s="7" t="s">
        <v>20</v>
      </c>
      <c r="C20" s="7" t="s">
        <v>12</v>
      </c>
      <c r="D20" s="7" t="s">
        <v>19</v>
      </c>
      <c r="E20" s="8">
        <v>9.0</v>
      </c>
      <c r="F20" s="8">
        <v>3844.0</v>
      </c>
      <c r="G20" s="10">
        <f t="shared" si="3"/>
        <v>768.8</v>
      </c>
      <c r="H20" s="10">
        <v>2017.0</v>
      </c>
      <c r="I20" s="11">
        <f t="shared" si="1"/>
        <v>384.4</v>
      </c>
      <c r="J20" s="12">
        <v>0.7999999999999999</v>
      </c>
    </row>
    <row r="21">
      <c r="A21" s="6" t="s">
        <v>29</v>
      </c>
      <c r="B21" s="7" t="s">
        <v>21</v>
      </c>
      <c r="C21" s="7" t="s">
        <v>15</v>
      </c>
      <c r="D21" s="7" t="s">
        <v>13</v>
      </c>
      <c r="E21" s="8">
        <v>9.0</v>
      </c>
      <c r="F21" s="8">
        <v>3955.0</v>
      </c>
      <c r="G21" s="10">
        <f t="shared" si="3"/>
        <v>791</v>
      </c>
      <c r="H21" s="10">
        <v>2017.0</v>
      </c>
      <c r="I21" s="11">
        <f t="shared" si="1"/>
        <v>395.5</v>
      </c>
      <c r="J21" s="12">
        <v>0.8</v>
      </c>
    </row>
    <row r="22">
      <c r="A22" s="6" t="s">
        <v>29</v>
      </c>
      <c r="B22" s="7" t="s">
        <v>11</v>
      </c>
      <c r="C22" s="7" t="s">
        <v>18</v>
      </c>
      <c r="D22" s="7" t="s">
        <v>16</v>
      </c>
      <c r="E22" s="8">
        <v>9.0</v>
      </c>
      <c r="F22" s="8">
        <v>4067.0</v>
      </c>
      <c r="G22" s="10">
        <f t="shared" si="3"/>
        <v>813.4</v>
      </c>
      <c r="H22" s="10">
        <v>2017.0</v>
      </c>
      <c r="I22" s="11">
        <f t="shared" si="1"/>
        <v>406.7</v>
      </c>
      <c r="J22" s="12">
        <v>0.7999999999999999</v>
      </c>
    </row>
    <row r="23">
      <c r="A23" s="6" t="s">
        <v>29</v>
      </c>
      <c r="B23" s="7" t="s">
        <v>14</v>
      </c>
      <c r="C23" s="7" t="s">
        <v>12</v>
      </c>
      <c r="D23" s="7" t="s">
        <v>19</v>
      </c>
      <c r="E23" s="8">
        <v>10.0</v>
      </c>
      <c r="F23" s="8">
        <v>4178.0</v>
      </c>
      <c r="G23" s="10">
        <f t="shared" si="3"/>
        <v>835.6</v>
      </c>
      <c r="H23" s="10">
        <v>2017.0</v>
      </c>
      <c r="I23" s="11">
        <f t="shared" si="1"/>
        <v>417.8</v>
      </c>
      <c r="J23" s="12">
        <v>0.8</v>
      </c>
    </row>
    <row r="24">
      <c r="A24" s="6" t="s">
        <v>29</v>
      </c>
      <c r="B24" s="7" t="s">
        <v>17</v>
      </c>
      <c r="C24" s="7" t="s">
        <v>15</v>
      </c>
      <c r="D24" s="7" t="s">
        <v>13</v>
      </c>
      <c r="E24" s="8">
        <v>10.0</v>
      </c>
      <c r="F24" s="8">
        <v>4290.0</v>
      </c>
      <c r="G24" s="10">
        <f t="shared" si="3"/>
        <v>858</v>
      </c>
      <c r="H24" s="10">
        <v>2017.0</v>
      </c>
      <c r="I24" s="11">
        <f t="shared" si="1"/>
        <v>429</v>
      </c>
      <c r="J24" s="12">
        <v>0.8</v>
      </c>
    </row>
    <row r="25">
      <c r="A25" s="6" t="s">
        <v>29</v>
      </c>
      <c r="B25" s="7" t="s">
        <v>20</v>
      </c>
      <c r="C25" s="7" t="s">
        <v>18</v>
      </c>
      <c r="D25" s="7" t="s">
        <v>25</v>
      </c>
      <c r="E25" s="8">
        <v>10.0</v>
      </c>
      <c r="F25" s="8">
        <v>4401.0</v>
      </c>
      <c r="G25" s="10">
        <f t="shared" si="3"/>
        <v>880.2</v>
      </c>
      <c r="H25" s="10">
        <v>2017.0</v>
      </c>
      <c r="I25" s="11">
        <f t="shared" si="1"/>
        <v>440.1</v>
      </c>
      <c r="J25" s="12">
        <v>0.8</v>
      </c>
    </row>
    <row r="26">
      <c r="A26" s="6" t="s">
        <v>29</v>
      </c>
      <c r="B26" s="7" t="s">
        <v>21</v>
      </c>
      <c r="C26" s="7" t="s">
        <v>12</v>
      </c>
      <c r="D26" s="7" t="s">
        <v>16</v>
      </c>
      <c r="E26" s="8">
        <v>11.0</v>
      </c>
      <c r="F26" s="8">
        <v>4512.0</v>
      </c>
      <c r="G26" s="10">
        <f t="shared" si="3"/>
        <v>902.4</v>
      </c>
      <c r="H26" s="10">
        <v>2017.0</v>
      </c>
      <c r="I26" s="11">
        <f t="shared" si="1"/>
        <v>451.2</v>
      </c>
      <c r="J26" s="12">
        <v>0.7999999999999999</v>
      </c>
    </row>
    <row r="27">
      <c r="A27" s="6" t="s">
        <v>29</v>
      </c>
      <c r="B27" s="7" t="s">
        <v>11</v>
      </c>
      <c r="C27" s="7" t="s">
        <v>15</v>
      </c>
      <c r="D27" s="7" t="s">
        <v>19</v>
      </c>
      <c r="E27" s="8">
        <v>11.0</v>
      </c>
      <c r="F27" s="8">
        <v>4624.0</v>
      </c>
      <c r="G27" s="10">
        <f t="shared" si="3"/>
        <v>924.8</v>
      </c>
      <c r="H27" s="10">
        <v>2017.0</v>
      </c>
      <c r="I27" s="11">
        <f t="shared" si="1"/>
        <v>462.4</v>
      </c>
      <c r="J27" s="12">
        <v>0.7999999999999999</v>
      </c>
    </row>
    <row r="28">
      <c r="A28" s="6" t="s">
        <v>26</v>
      </c>
      <c r="B28" s="7" t="s">
        <v>14</v>
      </c>
      <c r="C28" s="7" t="s">
        <v>18</v>
      </c>
      <c r="D28" s="7" t="s">
        <v>13</v>
      </c>
      <c r="E28" s="8">
        <v>11.0</v>
      </c>
      <c r="F28" s="8">
        <v>4735.0</v>
      </c>
      <c r="G28" s="10">
        <f t="shared" si="3"/>
        <v>947</v>
      </c>
      <c r="H28" s="10">
        <v>2019.0</v>
      </c>
      <c r="I28" s="11">
        <f t="shared" si="1"/>
        <v>473.5</v>
      </c>
      <c r="J28" s="12">
        <v>0.8</v>
      </c>
    </row>
    <row r="29">
      <c r="A29" s="6" t="s">
        <v>27</v>
      </c>
      <c r="B29" s="7" t="s">
        <v>17</v>
      </c>
      <c r="C29" s="7" t="s">
        <v>12</v>
      </c>
      <c r="D29" s="7" t="s">
        <v>16</v>
      </c>
      <c r="E29" s="8">
        <v>12.0</v>
      </c>
      <c r="F29" s="8">
        <v>4847.0</v>
      </c>
      <c r="G29" s="10">
        <f t="shared" si="3"/>
        <v>969.4</v>
      </c>
      <c r="H29" s="10">
        <v>2019.0</v>
      </c>
      <c r="I29" s="11">
        <f t="shared" si="1"/>
        <v>484.7</v>
      </c>
      <c r="J29" s="12">
        <v>0.7999999999999999</v>
      </c>
    </row>
    <row r="30">
      <c r="A30" s="6" t="s">
        <v>30</v>
      </c>
      <c r="B30" s="7" t="s">
        <v>20</v>
      </c>
      <c r="C30" s="7" t="s">
        <v>15</v>
      </c>
      <c r="D30" s="7" t="s">
        <v>19</v>
      </c>
      <c r="E30" s="8">
        <v>12.0</v>
      </c>
      <c r="F30" s="8">
        <v>8888.0</v>
      </c>
      <c r="G30" s="10">
        <f t="shared" si="3"/>
        <v>1777.6</v>
      </c>
      <c r="H30" s="10">
        <v>2019.0</v>
      </c>
      <c r="I30" s="11">
        <f t="shared" si="1"/>
        <v>888.8</v>
      </c>
      <c r="J30" s="12">
        <v>0.7999999999999999</v>
      </c>
    </row>
    <row r="31">
      <c r="A31" s="13">
        <v>43801.0</v>
      </c>
      <c r="B31" s="7" t="s">
        <v>21</v>
      </c>
      <c r="C31" s="7" t="s">
        <v>18</v>
      </c>
      <c r="D31" s="7" t="s">
        <v>13</v>
      </c>
      <c r="E31" s="8">
        <v>12.0</v>
      </c>
      <c r="F31" s="8">
        <v>5070.0</v>
      </c>
      <c r="G31" s="10">
        <f t="shared" si="3"/>
        <v>1014</v>
      </c>
      <c r="H31" s="10">
        <v>2019.0</v>
      </c>
      <c r="I31" s="11">
        <f t="shared" si="1"/>
        <v>507</v>
      </c>
      <c r="J31" s="12">
        <v>0.8</v>
      </c>
    </row>
    <row r="32">
      <c r="A32" s="6" t="s">
        <v>31</v>
      </c>
      <c r="B32" s="7" t="s">
        <v>11</v>
      </c>
      <c r="C32" s="7" t="s">
        <v>12</v>
      </c>
      <c r="D32" s="7" t="s">
        <v>25</v>
      </c>
      <c r="E32" s="8">
        <v>13.0</v>
      </c>
      <c r="F32" s="8">
        <v>5181.0</v>
      </c>
      <c r="G32" s="10">
        <f t="shared" si="3"/>
        <v>1036.2</v>
      </c>
      <c r="H32" s="10">
        <v>2019.0</v>
      </c>
      <c r="I32" s="11">
        <f t="shared" si="1"/>
        <v>518.1</v>
      </c>
      <c r="J32" s="12">
        <v>0.8</v>
      </c>
    </row>
    <row r="33">
      <c r="A33" s="6" t="s">
        <v>32</v>
      </c>
      <c r="B33" s="7" t="s">
        <v>14</v>
      </c>
      <c r="C33" s="7" t="s">
        <v>15</v>
      </c>
      <c r="D33" s="7" t="s">
        <v>16</v>
      </c>
      <c r="E33" s="8">
        <v>13.0</v>
      </c>
      <c r="F33" s="8">
        <v>5292.0</v>
      </c>
      <c r="G33" s="10">
        <f t="shared" si="3"/>
        <v>1058.4</v>
      </c>
      <c r="H33" s="10">
        <v>2019.0</v>
      </c>
      <c r="I33" s="11">
        <f t="shared" si="1"/>
        <v>529.2</v>
      </c>
      <c r="J33" s="12">
        <v>0.8</v>
      </c>
    </row>
    <row r="34">
      <c r="A34" s="6" t="s">
        <v>33</v>
      </c>
      <c r="B34" s="7" t="s">
        <v>17</v>
      </c>
      <c r="C34" s="7" t="s">
        <v>18</v>
      </c>
      <c r="D34" s="7" t="s">
        <v>19</v>
      </c>
      <c r="E34" s="8">
        <v>13.0</v>
      </c>
      <c r="F34" s="8">
        <v>5404.0</v>
      </c>
      <c r="G34" s="10">
        <f t="shared" si="3"/>
        <v>1080.8</v>
      </c>
      <c r="H34" s="10">
        <v>2019.0</v>
      </c>
      <c r="I34" s="11">
        <f t="shared" si="1"/>
        <v>540.4</v>
      </c>
      <c r="J34" s="12">
        <v>0.7999999999999999</v>
      </c>
    </row>
    <row r="35">
      <c r="A35" s="6" t="s">
        <v>34</v>
      </c>
      <c r="B35" s="7" t="s">
        <v>20</v>
      </c>
      <c r="C35" s="7" t="s">
        <v>12</v>
      </c>
      <c r="D35" s="7" t="s">
        <v>13</v>
      </c>
      <c r="E35" s="8">
        <v>14.0</v>
      </c>
      <c r="F35" s="8">
        <v>5515.0</v>
      </c>
      <c r="G35" s="10">
        <f t="shared" ref="G35:G54" si="4">F35/3</f>
        <v>1838.333333</v>
      </c>
      <c r="H35" s="10">
        <v>2019.0</v>
      </c>
      <c r="I35" s="11">
        <f t="shared" si="1"/>
        <v>551.5</v>
      </c>
      <c r="J35" s="12">
        <v>0.6666666666666667</v>
      </c>
    </row>
    <row r="36">
      <c r="A36" s="6" t="s">
        <v>35</v>
      </c>
      <c r="B36" s="7" t="s">
        <v>11</v>
      </c>
      <c r="C36" s="7" t="s">
        <v>12</v>
      </c>
      <c r="D36" s="7" t="s">
        <v>13</v>
      </c>
      <c r="E36" s="8">
        <v>3.0</v>
      </c>
      <c r="F36" s="8">
        <v>1000.0</v>
      </c>
      <c r="G36" s="10">
        <f t="shared" si="4"/>
        <v>333.3333333</v>
      </c>
      <c r="H36" s="10">
        <v>2019.0</v>
      </c>
      <c r="I36" s="11">
        <f t="shared" si="1"/>
        <v>100</v>
      </c>
      <c r="J36" s="12">
        <v>0.6666666666666667</v>
      </c>
    </row>
    <row r="37">
      <c r="A37" s="6" t="s">
        <v>36</v>
      </c>
      <c r="B37" s="7" t="s">
        <v>14</v>
      </c>
      <c r="C37" s="7" t="s">
        <v>15</v>
      </c>
      <c r="D37" s="7" t="s">
        <v>16</v>
      </c>
      <c r="E37" s="8">
        <v>4.0</v>
      </c>
      <c r="F37" s="8">
        <v>7800.0</v>
      </c>
      <c r="G37" s="10">
        <f t="shared" si="4"/>
        <v>2600</v>
      </c>
      <c r="H37" s="10">
        <v>2019.0</v>
      </c>
      <c r="I37" s="11">
        <f t="shared" si="1"/>
        <v>780</v>
      </c>
      <c r="J37" s="12">
        <v>0.6666666666666666</v>
      </c>
    </row>
    <row r="38">
      <c r="A38" s="6" t="s">
        <v>37</v>
      </c>
      <c r="B38" s="7" t="s">
        <v>17</v>
      </c>
      <c r="C38" s="7" t="s">
        <v>18</v>
      </c>
      <c r="D38" s="7" t="s">
        <v>19</v>
      </c>
      <c r="E38" s="8">
        <v>5.0</v>
      </c>
      <c r="F38" s="8">
        <v>3000.0</v>
      </c>
      <c r="G38" s="10">
        <f t="shared" si="4"/>
        <v>1000</v>
      </c>
      <c r="H38" s="10">
        <v>2019.0</v>
      </c>
      <c r="I38" s="11">
        <f t="shared" si="1"/>
        <v>300</v>
      </c>
      <c r="J38" s="12">
        <v>0.6666666666666666</v>
      </c>
    </row>
    <row r="39">
      <c r="A39" s="6" t="s">
        <v>38</v>
      </c>
      <c r="B39" s="7" t="s">
        <v>20</v>
      </c>
      <c r="C39" s="7" t="s">
        <v>12</v>
      </c>
      <c r="D39" s="7" t="s">
        <v>13</v>
      </c>
      <c r="E39" s="8">
        <v>4.0</v>
      </c>
      <c r="F39" s="8">
        <v>2300.0</v>
      </c>
      <c r="G39" s="10">
        <f t="shared" si="4"/>
        <v>766.6666667</v>
      </c>
      <c r="H39" s="10">
        <v>2019.0</v>
      </c>
      <c r="I39" s="11">
        <f t="shared" si="1"/>
        <v>230</v>
      </c>
      <c r="J39" s="12">
        <v>0.6666666666666667</v>
      </c>
    </row>
    <row r="40">
      <c r="A40" s="6" t="s">
        <v>39</v>
      </c>
      <c r="B40" s="7" t="s">
        <v>21</v>
      </c>
      <c r="C40" s="7" t="s">
        <v>15</v>
      </c>
      <c r="D40" s="7" t="s">
        <v>13</v>
      </c>
      <c r="E40" s="8">
        <v>3.0</v>
      </c>
      <c r="F40" s="8">
        <v>7000.0</v>
      </c>
      <c r="G40" s="10">
        <f t="shared" si="4"/>
        <v>2333.333333</v>
      </c>
      <c r="H40" s="10">
        <v>2019.0</v>
      </c>
      <c r="I40" s="11">
        <f t="shared" si="1"/>
        <v>700</v>
      </c>
      <c r="J40" s="12">
        <v>0.6666666666666666</v>
      </c>
    </row>
    <row r="41">
      <c r="A41" s="6" t="s">
        <v>40</v>
      </c>
      <c r="B41" s="7" t="s">
        <v>11</v>
      </c>
      <c r="C41" s="7" t="s">
        <v>18</v>
      </c>
      <c r="D41" s="7" t="s">
        <v>16</v>
      </c>
      <c r="E41" s="8">
        <v>3.0</v>
      </c>
      <c r="F41" s="8">
        <v>1200.0</v>
      </c>
      <c r="G41" s="10">
        <f t="shared" si="4"/>
        <v>400</v>
      </c>
      <c r="H41" s="10">
        <v>2019.0</v>
      </c>
      <c r="I41" s="11">
        <f t="shared" si="1"/>
        <v>120</v>
      </c>
      <c r="J41" s="12">
        <v>0.6666666666666666</v>
      </c>
    </row>
    <row r="42">
      <c r="A42" s="6" t="s">
        <v>41</v>
      </c>
      <c r="B42" s="7" t="s">
        <v>14</v>
      </c>
      <c r="C42" s="7" t="s">
        <v>12</v>
      </c>
      <c r="D42" s="7" t="s">
        <v>19</v>
      </c>
      <c r="E42" s="8">
        <v>4.0</v>
      </c>
      <c r="F42" s="8">
        <v>2507.0</v>
      </c>
      <c r="G42" s="10">
        <f t="shared" si="4"/>
        <v>835.6666667</v>
      </c>
      <c r="H42" s="10">
        <v>2019.0</v>
      </c>
      <c r="I42" s="11">
        <f t="shared" si="1"/>
        <v>250.7</v>
      </c>
      <c r="J42" s="12">
        <v>0.6666666666666667</v>
      </c>
    </row>
    <row r="43">
      <c r="A43" s="6" t="s">
        <v>42</v>
      </c>
      <c r="B43" s="7" t="s">
        <v>17</v>
      </c>
      <c r="C43" s="7" t="s">
        <v>15</v>
      </c>
      <c r="D43" s="7" t="s">
        <v>16</v>
      </c>
      <c r="E43" s="8">
        <v>5.0</v>
      </c>
      <c r="F43" s="8">
        <v>2618.0</v>
      </c>
      <c r="G43" s="10">
        <f t="shared" si="4"/>
        <v>872.6666667</v>
      </c>
      <c r="H43" s="10">
        <v>2019.0</v>
      </c>
      <c r="I43" s="11">
        <f t="shared" si="1"/>
        <v>261.8</v>
      </c>
      <c r="J43" s="12">
        <v>0.6666666666666667</v>
      </c>
    </row>
    <row r="44">
      <c r="A44" s="6" t="s">
        <v>43</v>
      </c>
      <c r="B44" s="7" t="s">
        <v>20</v>
      </c>
      <c r="C44" s="7" t="s">
        <v>18</v>
      </c>
      <c r="D44" s="7" t="s">
        <v>16</v>
      </c>
      <c r="E44" s="8">
        <v>6.0</v>
      </c>
      <c r="F44" s="8">
        <v>2730.0</v>
      </c>
      <c r="G44" s="10">
        <f t="shared" si="4"/>
        <v>910</v>
      </c>
      <c r="H44" s="10">
        <v>2022.0</v>
      </c>
      <c r="I44" s="11">
        <f t="shared" si="1"/>
        <v>273</v>
      </c>
      <c r="J44" s="12">
        <v>0.6666666666666666</v>
      </c>
    </row>
    <row r="45">
      <c r="A45" s="6" t="s">
        <v>43</v>
      </c>
      <c r="B45" s="7" t="s">
        <v>21</v>
      </c>
      <c r="C45" s="7" t="s">
        <v>12</v>
      </c>
      <c r="D45" s="7" t="s">
        <v>25</v>
      </c>
      <c r="E45" s="8">
        <v>7.0</v>
      </c>
      <c r="F45" s="8">
        <v>2841.0</v>
      </c>
      <c r="G45" s="10">
        <f t="shared" si="4"/>
        <v>947</v>
      </c>
      <c r="H45" s="10">
        <v>2022.0</v>
      </c>
      <c r="I45" s="11">
        <f t="shared" si="1"/>
        <v>284.1</v>
      </c>
      <c r="J45" s="12">
        <v>0.6666666666666666</v>
      </c>
    </row>
    <row r="46">
      <c r="A46" s="6" t="s">
        <v>43</v>
      </c>
      <c r="B46" s="7" t="s">
        <v>11</v>
      </c>
      <c r="C46" s="7" t="s">
        <v>15</v>
      </c>
      <c r="D46" s="7" t="s">
        <v>16</v>
      </c>
      <c r="E46" s="8">
        <v>6.0</v>
      </c>
      <c r="F46" s="8">
        <v>4500.0</v>
      </c>
      <c r="G46" s="10">
        <f t="shared" si="4"/>
        <v>1500</v>
      </c>
      <c r="H46" s="10">
        <v>2022.0</v>
      </c>
      <c r="I46" s="11">
        <f t="shared" si="1"/>
        <v>450</v>
      </c>
      <c r="J46" s="12">
        <v>0.6666666666666666</v>
      </c>
    </row>
    <row r="47">
      <c r="A47" s="6" t="s">
        <v>43</v>
      </c>
      <c r="B47" s="7" t="s">
        <v>14</v>
      </c>
      <c r="C47" s="7" t="s">
        <v>18</v>
      </c>
      <c r="D47" s="7" t="s">
        <v>19</v>
      </c>
      <c r="E47" s="8">
        <v>7.0</v>
      </c>
      <c r="F47" s="8">
        <v>3064.0</v>
      </c>
      <c r="G47" s="10">
        <f t="shared" si="4"/>
        <v>1021.333333</v>
      </c>
      <c r="H47" s="10">
        <v>2022.0</v>
      </c>
      <c r="I47" s="11">
        <f t="shared" si="1"/>
        <v>306.4</v>
      </c>
      <c r="J47" s="12">
        <v>0.6666666666666666</v>
      </c>
    </row>
    <row r="48">
      <c r="A48" s="6" t="s">
        <v>43</v>
      </c>
      <c r="B48" s="7" t="s">
        <v>17</v>
      </c>
      <c r="C48" s="7" t="s">
        <v>12</v>
      </c>
      <c r="D48" s="7" t="s">
        <v>13</v>
      </c>
      <c r="E48" s="8">
        <v>7.0</v>
      </c>
      <c r="F48" s="8">
        <v>3175.0</v>
      </c>
      <c r="G48" s="10">
        <f t="shared" si="4"/>
        <v>1058.333333</v>
      </c>
      <c r="H48" s="10">
        <v>2022.0</v>
      </c>
      <c r="I48" s="11">
        <f t="shared" si="1"/>
        <v>317.5</v>
      </c>
      <c r="J48" s="12">
        <v>0.6666666666666667</v>
      </c>
    </row>
    <row r="49">
      <c r="A49" s="6" t="s">
        <v>43</v>
      </c>
      <c r="B49" s="7" t="s">
        <v>20</v>
      </c>
      <c r="C49" s="7" t="s">
        <v>15</v>
      </c>
      <c r="D49" s="7" t="s">
        <v>16</v>
      </c>
      <c r="E49" s="8">
        <v>7.0</v>
      </c>
      <c r="F49" s="8">
        <v>3287.0</v>
      </c>
      <c r="G49" s="10">
        <f t="shared" si="4"/>
        <v>1095.666667</v>
      </c>
      <c r="H49" s="10">
        <v>2022.0</v>
      </c>
      <c r="I49" s="11">
        <f t="shared" si="1"/>
        <v>328.7</v>
      </c>
      <c r="J49" s="12">
        <v>0.6666666666666666</v>
      </c>
    </row>
    <row r="50">
      <c r="A50" s="6" t="s">
        <v>43</v>
      </c>
      <c r="B50" s="7" t="s">
        <v>21</v>
      </c>
      <c r="C50" s="7" t="s">
        <v>18</v>
      </c>
      <c r="D50" s="7" t="s">
        <v>19</v>
      </c>
      <c r="E50" s="8">
        <v>8.0</v>
      </c>
      <c r="F50" s="8">
        <v>3398.0</v>
      </c>
      <c r="G50" s="10">
        <f t="shared" si="4"/>
        <v>1132.666667</v>
      </c>
      <c r="H50" s="10">
        <v>2022.0</v>
      </c>
      <c r="I50" s="11">
        <f t="shared" si="1"/>
        <v>339.8</v>
      </c>
      <c r="J50" s="12">
        <v>0.6666666666666666</v>
      </c>
    </row>
    <row r="51">
      <c r="A51" s="6" t="s">
        <v>43</v>
      </c>
      <c r="B51" s="7" t="s">
        <v>11</v>
      </c>
      <c r="C51" s="7" t="s">
        <v>12</v>
      </c>
      <c r="D51" s="7" t="s">
        <v>13</v>
      </c>
      <c r="E51" s="8">
        <v>8.0</v>
      </c>
      <c r="F51" s="8">
        <v>3510.0</v>
      </c>
      <c r="G51" s="10">
        <f t="shared" si="4"/>
        <v>1170</v>
      </c>
      <c r="H51" s="10">
        <v>2022.0</v>
      </c>
      <c r="I51" s="11">
        <f t="shared" si="1"/>
        <v>351</v>
      </c>
      <c r="J51" s="12">
        <v>0.6666666666666666</v>
      </c>
    </row>
    <row r="52">
      <c r="A52" s="6" t="s">
        <v>43</v>
      </c>
      <c r="B52" s="7" t="s">
        <v>14</v>
      </c>
      <c r="C52" s="7" t="s">
        <v>15</v>
      </c>
      <c r="D52" s="7" t="s">
        <v>25</v>
      </c>
      <c r="E52" s="8">
        <v>8.0</v>
      </c>
      <c r="F52" s="8">
        <v>3621.0</v>
      </c>
      <c r="G52" s="10">
        <f t="shared" si="4"/>
        <v>1207</v>
      </c>
      <c r="H52" s="10">
        <v>2022.0</v>
      </c>
      <c r="I52" s="11">
        <f t="shared" si="1"/>
        <v>362.1</v>
      </c>
      <c r="J52" s="12">
        <v>0.6666666666666666</v>
      </c>
    </row>
    <row r="53">
      <c r="A53" s="6" t="s">
        <v>43</v>
      </c>
      <c r="B53" s="7" t="s">
        <v>17</v>
      </c>
      <c r="C53" s="7" t="s">
        <v>18</v>
      </c>
      <c r="D53" s="7" t="s">
        <v>16</v>
      </c>
      <c r="E53" s="8">
        <v>8.0</v>
      </c>
      <c r="F53" s="8">
        <v>3732.0</v>
      </c>
      <c r="G53" s="10">
        <f t="shared" si="4"/>
        <v>1244</v>
      </c>
      <c r="H53" s="10">
        <v>2022.0</v>
      </c>
      <c r="I53" s="11">
        <f t="shared" si="1"/>
        <v>373.2</v>
      </c>
      <c r="J53" s="12">
        <v>0.6666666666666666</v>
      </c>
    </row>
    <row r="54">
      <c r="A54" s="6" t="s">
        <v>43</v>
      </c>
      <c r="B54" s="7" t="s">
        <v>20</v>
      </c>
      <c r="C54" s="7" t="s">
        <v>12</v>
      </c>
      <c r="D54" s="7" t="s">
        <v>19</v>
      </c>
      <c r="E54" s="8">
        <v>9.0</v>
      </c>
      <c r="F54" s="8">
        <v>3844.0</v>
      </c>
      <c r="G54" s="10">
        <f t="shared" si="4"/>
        <v>1281.333333</v>
      </c>
      <c r="H54" s="10">
        <v>2022.0</v>
      </c>
      <c r="I54" s="11">
        <f t="shared" si="1"/>
        <v>384.4</v>
      </c>
      <c r="J54" s="12">
        <v>0.6666666666666667</v>
      </c>
    </row>
    <row r="55">
      <c r="A55" s="6" t="s">
        <v>43</v>
      </c>
      <c r="B55" s="7" t="s">
        <v>21</v>
      </c>
      <c r="C55" s="7" t="s">
        <v>15</v>
      </c>
      <c r="D55" s="7" t="s">
        <v>13</v>
      </c>
      <c r="E55" s="8">
        <v>9.0</v>
      </c>
      <c r="F55" s="8">
        <v>3955.0</v>
      </c>
      <c r="G55" s="10">
        <f t="shared" ref="G55:G84" si="5">F55/6</f>
        <v>659.1666667</v>
      </c>
      <c r="H55" s="10">
        <v>2022.0</v>
      </c>
      <c r="I55" s="11">
        <f t="shared" si="1"/>
        <v>395.5</v>
      </c>
      <c r="J55" s="12">
        <v>0.8333333333333334</v>
      </c>
    </row>
    <row r="56">
      <c r="A56" s="13">
        <v>43711.0</v>
      </c>
      <c r="B56" s="7" t="s">
        <v>11</v>
      </c>
      <c r="C56" s="7" t="s">
        <v>18</v>
      </c>
      <c r="D56" s="7" t="s">
        <v>16</v>
      </c>
      <c r="E56" s="8">
        <v>9.0</v>
      </c>
      <c r="F56" s="8">
        <v>4067.0</v>
      </c>
      <c r="G56" s="10">
        <f t="shared" si="5"/>
        <v>677.8333333</v>
      </c>
      <c r="H56" s="10">
        <v>2019.0</v>
      </c>
      <c r="I56" s="11">
        <f t="shared" si="1"/>
        <v>406.7</v>
      </c>
      <c r="J56" s="12">
        <v>0.8333333333333333</v>
      </c>
    </row>
    <row r="57">
      <c r="A57" s="13">
        <v>43741.0</v>
      </c>
      <c r="B57" s="7" t="s">
        <v>14</v>
      </c>
      <c r="C57" s="7" t="s">
        <v>12</v>
      </c>
      <c r="D57" s="7" t="s">
        <v>19</v>
      </c>
      <c r="E57" s="8">
        <v>10.0</v>
      </c>
      <c r="F57" s="8">
        <v>4178.0</v>
      </c>
      <c r="G57" s="10">
        <f t="shared" si="5"/>
        <v>696.3333333</v>
      </c>
      <c r="H57" s="10">
        <v>2019.0</v>
      </c>
      <c r="I57" s="11">
        <f t="shared" si="1"/>
        <v>417.8</v>
      </c>
      <c r="J57" s="12">
        <v>0.8333333333333333</v>
      </c>
    </row>
    <row r="58">
      <c r="A58" s="13">
        <v>43772.0</v>
      </c>
      <c r="B58" s="7" t="s">
        <v>17</v>
      </c>
      <c r="C58" s="7" t="s">
        <v>15</v>
      </c>
      <c r="D58" s="7" t="s">
        <v>13</v>
      </c>
      <c r="E58" s="8">
        <v>10.0</v>
      </c>
      <c r="F58" s="8">
        <v>4290.0</v>
      </c>
      <c r="G58" s="10">
        <f t="shared" si="5"/>
        <v>715</v>
      </c>
      <c r="H58" s="10">
        <v>2019.0</v>
      </c>
      <c r="I58" s="11">
        <f t="shared" si="1"/>
        <v>429</v>
      </c>
      <c r="J58" s="12">
        <v>0.8333333333333334</v>
      </c>
    </row>
    <row r="59">
      <c r="A59" s="13">
        <v>43802.0</v>
      </c>
      <c r="B59" s="7" t="s">
        <v>20</v>
      </c>
      <c r="C59" s="7" t="s">
        <v>18</v>
      </c>
      <c r="D59" s="7" t="s">
        <v>25</v>
      </c>
      <c r="E59" s="8">
        <v>10.0</v>
      </c>
      <c r="F59" s="8">
        <v>4401.0</v>
      </c>
      <c r="G59" s="10">
        <f t="shared" si="5"/>
        <v>733.5</v>
      </c>
      <c r="H59" s="10">
        <v>2019.0</v>
      </c>
      <c r="I59" s="11">
        <f t="shared" si="1"/>
        <v>440.1</v>
      </c>
      <c r="J59" s="12">
        <v>0.8333333333333334</v>
      </c>
    </row>
    <row r="60">
      <c r="A60" s="6" t="s">
        <v>44</v>
      </c>
      <c r="B60" s="7" t="s">
        <v>21</v>
      </c>
      <c r="C60" s="7" t="s">
        <v>12</v>
      </c>
      <c r="D60" s="7" t="s">
        <v>16</v>
      </c>
      <c r="E60" s="8">
        <v>11.0</v>
      </c>
      <c r="F60" s="8">
        <v>4512.0</v>
      </c>
      <c r="G60" s="10">
        <f t="shared" si="5"/>
        <v>752</v>
      </c>
      <c r="H60" s="10">
        <v>2019.0</v>
      </c>
      <c r="I60" s="11">
        <f t="shared" si="1"/>
        <v>451.2</v>
      </c>
      <c r="J60" s="12">
        <v>0.8333333333333334</v>
      </c>
    </row>
    <row r="61">
      <c r="A61" s="6" t="s">
        <v>45</v>
      </c>
      <c r="B61" s="7" t="s">
        <v>11</v>
      </c>
      <c r="C61" s="7" t="s">
        <v>15</v>
      </c>
      <c r="D61" s="7" t="s">
        <v>19</v>
      </c>
      <c r="E61" s="8">
        <v>11.0</v>
      </c>
      <c r="F61" s="8">
        <v>4624.0</v>
      </c>
      <c r="G61" s="10">
        <f t="shared" si="5"/>
        <v>770.6666667</v>
      </c>
      <c r="H61" s="10">
        <v>2019.0</v>
      </c>
      <c r="I61" s="11">
        <f t="shared" si="1"/>
        <v>462.4</v>
      </c>
      <c r="J61" s="12">
        <v>0.8333333333333334</v>
      </c>
    </row>
    <row r="62">
      <c r="A62" s="6" t="s">
        <v>46</v>
      </c>
      <c r="B62" s="7" t="s">
        <v>14</v>
      </c>
      <c r="C62" s="7" t="s">
        <v>18</v>
      </c>
      <c r="D62" s="7" t="s">
        <v>13</v>
      </c>
      <c r="E62" s="8">
        <v>11.0</v>
      </c>
      <c r="F62" s="8">
        <v>4735.0</v>
      </c>
      <c r="G62" s="10">
        <f t="shared" si="5"/>
        <v>789.1666667</v>
      </c>
      <c r="H62" s="10">
        <v>2019.0</v>
      </c>
      <c r="I62" s="11">
        <f t="shared" si="1"/>
        <v>473.5</v>
      </c>
      <c r="J62" s="12">
        <v>0.8333333333333334</v>
      </c>
    </row>
    <row r="63">
      <c r="A63" s="6" t="s">
        <v>47</v>
      </c>
      <c r="B63" s="7" t="s">
        <v>17</v>
      </c>
      <c r="C63" s="7" t="s">
        <v>12</v>
      </c>
      <c r="D63" s="7" t="s">
        <v>16</v>
      </c>
      <c r="E63" s="8">
        <v>12.0</v>
      </c>
      <c r="F63" s="8">
        <v>4847.0</v>
      </c>
      <c r="G63" s="10">
        <f t="shared" si="5"/>
        <v>807.8333333</v>
      </c>
      <c r="H63" s="10">
        <v>2019.0</v>
      </c>
      <c r="I63" s="11">
        <f t="shared" si="1"/>
        <v>484.7</v>
      </c>
      <c r="J63" s="12">
        <v>0.8333333333333333</v>
      </c>
    </row>
    <row r="64">
      <c r="A64" s="6" t="s">
        <v>48</v>
      </c>
      <c r="B64" s="7" t="s">
        <v>20</v>
      </c>
      <c r="C64" s="7" t="s">
        <v>15</v>
      </c>
      <c r="D64" s="7" t="s">
        <v>19</v>
      </c>
      <c r="E64" s="8">
        <v>12.0</v>
      </c>
      <c r="F64" s="8">
        <v>8888.0</v>
      </c>
      <c r="G64" s="10">
        <f t="shared" si="5"/>
        <v>1481.333333</v>
      </c>
      <c r="H64" s="10">
        <v>2019.0</v>
      </c>
      <c r="I64" s="11">
        <f t="shared" si="1"/>
        <v>888.8</v>
      </c>
      <c r="J64" s="12">
        <v>0.8333333333333334</v>
      </c>
    </row>
    <row r="65">
      <c r="A65" s="6" t="s">
        <v>49</v>
      </c>
      <c r="B65" s="7" t="s">
        <v>21</v>
      </c>
      <c r="C65" s="7" t="s">
        <v>18</v>
      </c>
      <c r="D65" s="7" t="s">
        <v>13</v>
      </c>
      <c r="E65" s="8">
        <v>12.0</v>
      </c>
      <c r="F65" s="8">
        <v>5070.0</v>
      </c>
      <c r="G65" s="10">
        <f t="shared" si="5"/>
        <v>845</v>
      </c>
      <c r="H65" s="10">
        <v>2019.0</v>
      </c>
      <c r="I65" s="11">
        <f t="shared" si="1"/>
        <v>507</v>
      </c>
      <c r="J65" s="12">
        <v>0.8333333333333334</v>
      </c>
    </row>
    <row r="66">
      <c r="A66" s="6" t="s">
        <v>50</v>
      </c>
      <c r="B66" s="7" t="s">
        <v>11</v>
      </c>
      <c r="C66" s="7" t="s">
        <v>12</v>
      </c>
      <c r="D66" s="7" t="s">
        <v>25</v>
      </c>
      <c r="E66" s="8">
        <v>13.0</v>
      </c>
      <c r="F66" s="8">
        <v>5181.0</v>
      </c>
      <c r="G66" s="10">
        <f t="shared" si="5"/>
        <v>863.5</v>
      </c>
      <c r="H66" s="10">
        <v>2019.0</v>
      </c>
      <c r="I66" s="11">
        <f t="shared" si="1"/>
        <v>518.1</v>
      </c>
      <c r="J66" s="12">
        <v>0.8333333333333334</v>
      </c>
    </row>
    <row r="67">
      <c r="A67" s="6" t="s">
        <v>51</v>
      </c>
      <c r="B67" s="7" t="s">
        <v>14</v>
      </c>
      <c r="C67" s="7" t="s">
        <v>15</v>
      </c>
      <c r="D67" s="7" t="s">
        <v>16</v>
      </c>
      <c r="E67" s="8">
        <v>13.0</v>
      </c>
      <c r="F67" s="8">
        <v>5292.0</v>
      </c>
      <c r="G67" s="10">
        <f t="shared" si="5"/>
        <v>882</v>
      </c>
      <c r="H67" s="10">
        <v>2019.0</v>
      </c>
      <c r="I67" s="11">
        <f t="shared" si="1"/>
        <v>529.2</v>
      </c>
      <c r="J67" s="12">
        <v>0.8333333333333334</v>
      </c>
    </row>
    <row r="68">
      <c r="A68" s="6" t="s">
        <v>52</v>
      </c>
      <c r="B68" s="7" t="s">
        <v>17</v>
      </c>
      <c r="C68" s="7" t="s">
        <v>18</v>
      </c>
      <c r="D68" s="7" t="s">
        <v>19</v>
      </c>
      <c r="E68" s="8">
        <v>13.0</v>
      </c>
      <c r="F68" s="8">
        <v>5404.0</v>
      </c>
      <c r="G68" s="10">
        <f t="shared" si="5"/>
        <v>900.6666667</v>
      </c>
      <c r="H68" s="10">
        <v>2019.0</v>
      </c>
      <c r="I68" s="11">
        <f t="shared" si="1"/>
        <v>540.4</v>
      </c>
      <c r="J68" s="12">
        <v>0.8333333333333333</v>
      </c>
    </row>
    <row r="69">
      <c r="A69" s="6" t="s">
        <v>53</v>
      </c>
      <c r="B69" s="7" t="s">
        <v>20</v>
      </c>
      <c r="C69" s="7" t="s">
        <v>12</v>
      </c>
      <c r="D69" s="7" t="s">
        <v>13</v>
      </c>
      <c r="E69" s="8">
        <v>14.0</v>
      </c>
      <c r="F69" s="8">
        <v>5515.0</v>
      </c>
      <c r="G69" s="10">
        <f t="shared" si="5"/>
        <v>919.1666667</v>
      </c>
      <c r="H69" s="10">
        <v>2019.0</v>
      </c>
      <c r="I69" s="11">
        <f t="shared" si="1"/>
        <v>551.5</v>
      </c>
      <c r="J69" s="12">
        <v>0.8333333333333333</v>
      </c>
    </row>
    <row r="70">
      <c r="A70" s="6" t="s">
        <v>54</v>
      </c>
      <c r="B70" s="7" t="s">
        <v>11</v>
      </c>
      <c r="C70" s="7" t="s">
        <v>12</v>
      </c>
      <c r="D70" s="7" t="s">
        <v>13</v>
      </c>
      <c r="E70" s="8">
        <v>11.0</v>
      </c>
      <c r="F70" s="8">
        <v>4811.0</v>
      </c>
      <c r="G70" s="10">
        <f t="shared" si="5"/>
        <v>801.8333333</v>
      </c>
      <c r="H70" s="10">
        <v>2019.0</v>
      </c>
      <c r="I70" s="11">
        <f t="shared" si="1"/>
        <v>481.1</v>
      </c>
      <c r="J70" s="12">
        <v>0.8333333333333333</v>
      </c>
    </row>
    <row r="71">
      <c r="A71" s="6" t="s">
        <v>55</v>
      </c>
      <c r="B71" s="7" t="s">
        <v>14</v>
      </c>
      <c r="C71" s="7" t="s">
        <v>15</v>
      </c>
      <c r="D71" s="7" t="s">
        <v>16</v>
      </c>
      <c r="E71" s="8">
        <v>11.0</v>
      </c>
      <c r="F71" s="8">
        <v>4831.0</v>
      </c>
      <c r="G71" s="10">
        <f t="shared" si="5"/>
        <v>805.1666667</v>
      </c>
      <c r="H71" s="10">
        <v>2019.0</v>
      </c>
      <c r="I71" s="11">
        <f t="shared" si="1"/>
        <v>483.1</v>
      </c>
      <c r="J71" s="12">
        <v>0.8333333333333334</v>
      </c>
    </row>
    <row r="72">
      <c r="A72" s="6" t="s">
        <v>56</v>
      </c>
      <c r="B72" s="7" t="s">
        <v>17</v>
      </c>
      <c r="C72" s="7" t="s">
        <v>18</v>
      </c>
      <c r="D72" s="7" t="s">
        <v>19</v>
      </c>
      <c r="E72" s="8">
        <v>11.0</v>
      </c>
      <c r="F72" s="8">
        <v>4851.0</v>
      </c>
      <c r="G72" s="10">
        <f t="shared" si="5"/>
        <v>808.5</v>
      </c>
      <c r="H72" s="10">
        <v>2019.0</v>
      </c>
      <c r="I72" s="11">
        <f t="shared" si="1"/>
        <v>485.1</v>
      </c>
      <c r="J72" s="12">
        <v>0.8333333333333334</v>
      </c>
    </row>
    <row r="73">
      <c r="A73" s="6" t="s">
        <v>57</v>
      </c>
      <c r="B73" s="7" t="s">
        <v>20</v>
      </c>
      <c r="C73" s="7" t="s">
        <v>12</v>
      </c>
      <c r="D73" s="7" t="s">
        <v>13</v>
      </c>
      <c r="E73" s="8">
        <v>11.0</v>
      </c>
      <c r="F73" s="8">
        <v>4871.0</v>
      </c>
      <c r="G73" s="10">
        <f t="shared" si="5"/>
        <v>811.8333333</v>
      </c>
      <c r="H73" s="10">
        <v>2019.0</v>
      </c>
      <c r="I73" s="11">
        <f t="shared" si="1"/>
        <v>487.1</v>
      </c>
      <c r="J73" s="12">
        <v>0.8333333333333333</v>
      </c>
    </row>
    <row r="74">
      <c r="A74" s="6" t="s">
        <v>58</v>
      </c>
      <c r="B74" s="7" t="s">
        <v>21</v>
      </c>
      <c r="C74" s="7" t="s">
        <v>15</v>
      </c>
      <c r="D74" s="7" t="s">
        <v>13</v>
      </c>
      <c r="E74" s="8">
        <v>11.0</v>
      </c>
      <c r="F74" s="8">
        <v>4891.0</v>
      </c>
      <c r="G74" s="10">
        <f t="shared" si="5"/>
        <v>815.1666667</v>
      </c>
      <c r="H74" s="10">
        <v>2019.0</v>
      </c>
      <c r="I74" s="11">
        <f t="shared" si="1"/>
        <v>489.1</v>
      </c>
      <c r="J74" s="12">
        <v>0.8333333333333334</v>
      </c>
    </row>
    <row r="75">
      <c r="A75" s="6" t="s">
        <v>59</v>
      </c>
      <c r="B75" s="7" t="s">
        <v>11</v>
      </c>
      <c r="C75" s="7" t="s">
        <v>18</v>
      </c>
      <c r="D75" s="7" t="s">
        <v>16</v>
      </c>
      <c r="E75" s="8">
        <v>12.0</v>
      </c>
      <c r="F75" s="8">
        <v>4911.0</v>
      </c>
      <c r="G75" s="10">
        <f t="shared" si="5"/>
        <v>818.5</v>
      </c>
      <c r="H75" s="10">
        <v>2019.0</v>
      </c>
      <c r="I75" s="11">
        <f t="shared" si="1"/>
        <v>491.1</v>
      </c>
      <c r="J75" s="12">
        <v>0.8333333333333334</v>
      </c>
    </row>
    <row r="76">
      <c r="A76" s="6" t="s">
        <v>60</v>
      </c>
      <c r="B76" s="7" t="s">
        <v>14</v>
      </c>
      <c r="C76" s="7" t="s">
        <v>12</v>
      </c>
      <c r="D76" s="7" t="s">
        <v>19</v>
      </c>
      <c r="E76" s="8">
        <v>12.0</v>
      </c>
      <c r="F76" s="8">
        <v>4931.0</v>
      </c>
      <c r="G76" s="10">
        <f t="shared" si="5"/>
        <v>821.8333333</v>
      </c>
      <c r="H76" s="10">
        <v>2019.0</v>
      </c>
      <c r="I76" s="11">
        <f t="shared" si="1"/>
        <v>493.1</v>
      </c>
      <c r="J76" s="12">
        <v>0.8333333333333334</v>
      </c>
    </row>
    <row r="77">
      <c r="A77" s="6" t="s">
        <v>61</v>
      </c>
      <c r="B77" s="7" t="s">
        <v>17</v>
      </c>
      <c r="C77" s="7" t="s">
        <v>15</v>
      </c>
      <c r="D77" s="7" t="s">
        <v>16</v>
      </c>
      <c r="E77" s="8">
        <v>12.0</v>
      </c>
      <c r="F77" s="8">
        <v>4951.0</v>
      </c>
      <c r="G77" s="10">
        <f t="shared" si="5"/>
        <v>825.1666667</v>
      </c>
      <c r="H77" s="10">
        <v>2019.0</v>
      </c>
      <c r="I77" s="11">
        <f t="shared" si="1"/>
        <v>495.1</v>
      </c>
      <c r="J77" s="12">
        <v>0.8333333333333333</v>
      </c>
    </row>
    <row r="78">
      <c r="A78" s="6" t="s">
        <v>62</v>
      </c>
      <c r="B78" s="7" t="s">
        <v>20</v>
      </c>
      <c r="C78" s="7" t="s">
        <v>18</v>
      </c>
      <c r="D78" s="7" t="s">
        <v>16</v>
      </c>
      <c r="E78" s="8">
        <v>12.0</v>
      </c>
      <c r="F78" s="8">
        <v>4971.0</v>
      </c>
      <c r="G78" s="10">
        <f t="shared" si="5"/>
        <v>828.5</v>
      </c>
      <c r="H78" s="10">
        <v>2019.0</v>
      </c>
      <c r="I78" s="11">
        <f t="shared" si="1"/>
        <v>497.1</v>
      </c>
      <c r="J78" s="12">
        <v>0.8333333333333334</v>
      </c>
    </row>
    <row r="79">
      <c r="A79" s="13">
        <v>43469.0</v>
      </c>
      <c r="B79" s="7" t="s">
        <v>21</v>
      </c>
      <c r="C79" s="7" t="s">
        <v>12</v>
      </c>
      <c r="D79" s="7" t="s">
        <v>25</v>
      </c>
      <c r="E79" s="8">
        <v>12.0</v>
      </c>
      <c r="F79" s="8">
        <v>4991.0</v>
      </c>
      <c r="G79" s="10">
        <f t="shared" si="5"/>
        <v>831.8333333</v>
      </c>
      <c r="H79" s="10">
        <v>2019.0</v>
      </c>
      <c r="I79" s="11">
        <f t="shared" si="1"/>
        <v>499.1</v>
      </c>
      <c r="J79" s="12">
        <v>0.8333333333333334</v>
      </c>
    </row>
    <row r="80">
      <c r="A80" s="13">
        <v>43500.0</v>
      </c>
      <c r="B80" s="7" t="s">
        <v>11</v>
      </c>
      <c r="C80" s="7" t="s">
        <v>15</v>
      </c>
      <c r="D80" s="7" t="s">
        <v>16</v>
      </c>
      <c r="E80" s="8">
        <v>12.0</v>
      </c>
      <c r="F80" s="8">
        <v>5012.0</v>
      </c>
      <c r="G80" s="10">
        <f t="shared" si="5"/>
        <v>835.3333333</v>
      </c>
      <c r="H80" s="10">
        <v>2019.0</v>
      </c>
      <c r="I80" s="11">
        <f t="shared" si="1"/>
        <v>501.2</v>
      </c>
      <c r="J80" s="12">
        <v>0.8333333333333334</v>
      </c>
    </row>
    <row r="81">
      <c r="A81" s="13">
        <v>43528.0</v>
      </c>
      <c r="B81" s="7" t="s">
        <v>14</v>
      </c>
      <c r="C81" s="7" t="s">
        <v>18</v>
      </c>
      <c r="D81" s="7" t="s">
        <v>19</v>
      </c>
      <c r="E81" s="8">
        <v>12.0</v>
      </c>
      <c r="F81" s="8">
        <v>5032.0</v>
      </c>
      <c r="G81" s="10">
        <f t="shared" si="5"/>
        <v>838.6666667</v>
      </c>
      <c r="H81" s="10">
        <v>2019.0</v>
      </c>
      <c r="I81" s="11">
        <f t="shared" si="1"/>
        <v>503.2</v>
      </c>
      <c r="J81" s="12">
        <v>0.8333333333333333</v>
      </c>
    </row>
    <row r="82">
      <c r="A82" s="13">
        <v>43559.0</v>
      </c>
      <c r="B82" s="7" t="s">
        <v>17</v>
      </c>
      <c r="C82" s="7" t="s">
        <v>12</v>
      </c>
      <c r="D82" s="7" t="s">
        <v>13</v>
      </c>
      <c r="E82" s="8">
        <v>12.0</v>
      </c>
      <c r="F82" s="8">
        <v>5052.0</v>
      </c>
      <c r="G82" s="10">
        <f t="shared" si="5"/>
        <v>842</v>
      </c>
      <c r="H82" s="10">
        <v>2019.0</v>
      </c>
      <c r="I82" s="11">
        <f t="shared" si="1"/>
        <v>505.2</v>
      </c>
      <c r="J82" s="12">
        <v>0.8333333333333334</v>
      </c>
    </row>
    <row r="83">
      <c r="A83" s="13">
        <v>43589.0</v>
      </c>
      <c r="B83" s="7" t="s">
        <v>20</v>
      </c>
      <c r="C83" s="7" t="s">
        <v>15</v>
      </c>
      <c r="D83" s="7" t="s">
        <v>16</v>
      </c>
      <c r="E83" s="8">
        <v>12.0</v>
      </c>
      <c r="F83" s="8">
        <v>5072.0</v>
      </c>
      <c r="G83" s="10">
        <f t="shared" si="5"/>
        <v>845.3333333</v>
      </c>
      <c r="H83" s="10">
        <v>2019.0</v>
      </c>
      <c r="I83" s="11">
        <f t="shared" si="1"/>
        <v>507.2</v>
      </c>
      <c r="J83" s="12">
        <v>0.8333333333333334</v>
      </c>
    </row>
    <row r="84">
      <c r="A84" s="13">
        <v>43620.0</v>
      </c>
      <c r="B84" s="7" t="s">
        <v>21</v>
      </c>
      <c r="C84" s="7" t="s">
        <v>18</v>
      </c>
      <c r="D84" s="7" t="s">
        <v>19</v>
      </c>
      <c r="E84" s="8">
        <v>12.0</v>
      </c>
      <c r="F84" s="8">
        <v>5092.0</v>
      </c>
      <c r="G84" s="10">
        <f t="shared" si="5"/>
        <v>848.6666667</v>
      </c>
      <c r="H84" s="10">
        <v>2019.0</v>
      </c>
      <c r="I84" s="11">
        <f t="shared" si="1"/>
        <v>509.2</v>
      </c>
      <c r="J84" s="12">
        <v>0.8333333333333333</v>
      </c>
    </row>
    <row r="85">
      <c r="A85" s="13">
        <v>43650.0</v>
      </c>
      <c r="B85" s="7" t="s">
        <v>11</v>
      </c>
      <c r="C85" s="7" t="s">
        <v>12</v>
      </c>
      <c r="D85" s="7" t="s">
        <v>13</v>
      </c>
      <c r="E85" s="8">
        <v>12.0</v>
      </c>
      <c r="F85" s="8">
        <v>5112.0</v>
      </c>
      <c r="G85" s="10">
        <f t="shared" ref="G85:G160" si="6">F85/2</f>
        <v>2556</v>
      </c>
      <c r="H85" s="10">
        <v>2019.0</v>
      </c>
      <c r="I85" s="11">
        <f t="shared" si="1"/>
        <v>511.2</v>
      </c>
      <c r="J85" s="12">
        <v>0.5</v>
      </c>
    </row>
    <row r="86">
      <c r="A86" s="13">
        <v>43681.0</v>
      </c>
      <c r="B86" s="7" t="s">
        <v>14</v>
      </c>
      <c r="C86" s="7" t="s">
        <v>15</v>
      </c>
      <c r="D86" s="7" t="s">
        <v>25</v>
      </c>
      <c r="E86" s="8">
        <v>12.0</v>
      </c>
      <c r="F86" s="8">
        <v>5132.0</v>
      </c>
      <c r="G86" s="10">
        <f t="shared" si="6"/>
        <v>2566</v>
      </c>
      <c r="H86" s="10">
        <v>2019.0</v>
      </c>
      <c r="I86" s="11">
        <f t="shared" si="1"/>
        <v>513.2</v>
      </c>
      <c r="J86" s="12">
        <v>0.5</v>
      </c>
    </row>
    <row r="87">
      <c r="A87" s="13">
        <v>43712.0</v>
      </c>
      <c r="B87" s="7" t="s">
        <v>17</v>
      </c>
      <c r="C87" s="7" t="s">
        <v>18</v>
      </c>
      <c r="D87" s="7" t="s">
        <v>16</v>
      </c>
      <c r="E87" s="8">
        <v>13.0</v>
      </c>
      <c r="F87" s="8">
        <v>5152.0</v>
      </c>
      <c r="G87" s="10">
        <f t="shared" si="6"/>
        <v>2576</v>
      </c>
      <c r="H87" s="10">
        <v>2019.0</v>
      </c>
      <c r="I87" s="11">
        <f t="shared" si="1"/>
        <v>515.2</v>
      </c>
      <c r="J87" s="12">
        <v>0.5</v>
      </c>
    </row>
    <row r="88">
      <c r="A88" s="13">
        <v>43742.0</v>
      </c>
      <c r="B88" s="7" t="s">
        <v>20</v>
      </c>
      <c r="C88" s="7" t="s">
        <v>12</v>
      </c>
      <c r="D88" s="7" t="s">
        <v>19</v>
      </c>
      <c r="E88" s="8">
        <v>13.0</v>
      </c>
      <c r="F88" s="8">
        <v>5172.0</v>
      </c>
      <c r="G88" s="10">
        <f t="shared" si="6"/>
        <v>2586</v>
      </c>
      <c r="H88" s="10">
        <v>2019.0</v>
      </c>
      <c r="I88" s="11">
        <f t="shared" si="1"/>
        <v>517.2</v>
      </c>
      <c r="J88" s="12">
        <v>0.5</v>
      </c>
    </row>
    <row r="89">
      <c r="A89" s="13">
        <v>45600.0</v>
      </c>
      <c r="B89" s="7" t="s">
        <v>21</v>
      </c>
      <c r="C89" s="7" t="s">
        <v>15</v>
      </c>
      <c r="D89" s="7" t="s">
        <v>13</v>
      </c>
      <c r="E89" s="8">
        <v>13.0</v>
      </c>
      <c r="F89" s="8">
        <v>5192.0</v>
      </c>
      <c r="G89" s="10">
        <f t="shared" si="6"/>
        <v>2596</v>
      </c>
      <c r="H89" s="10">
        <v>2024.0</v>
      </c>
      <c r="I89" s="11">
        <f t="shared" si="1"/>
        <v>519.2</v>
      </c>
      <c r="J89" s="12">
        <v>0.5</v>
      </c>
    </row>
    <row r="90">
      <c r="A90" s="13">
        <v>45600.0</v>
      </c>
      <c r="B90" s="7" t="s">
        <v>11</v>
      </c>
      <c r="C90" s="7" t="s">
        <v>18</v>
      </c>
      <c r="D90" s="7" t="s">
        <v>16</v>
      </c>
      <c r="E90" s="8">
        <v>13.0</v>
      </c>
      <c r="F90" s="8">
        <v>5212.0</v>
      </c>
      <c r="G90" s="10">
        <f t="shared" si="6"/>
        <v>2606</v>
      </c>
      <c r="H90" s="10">
        <v>2024.0</v>
      </c>
      <c r="I90" s="11">
        <f t="shared" si="1"/>
        <v>521.2</v>
      </c>
      <c r="J90" s="12">
        <v>0.5</v>
      </c>
    </row>
    <row r="91">
      <c r="A91" s="13">
        <v>45600.0</v>
      </c>
      <c r="B91" s="7" t="s">
        <v>14</v>
      </c>
      <c r="C91" s="7" t="s">
        <v>12</v>
      </c>
      <c r="D91" s="7" t="s">
        <v>19</v>
      </c>
      <c r="E91" s="8">
        <v>13.0</v>
      </c>
      <c r="F91" s="8">
        <v>5232.0</v>
      </c>
      <c r="G91" s="10">
        <f t="shared" si="6"/>
        <v>2616</v>
      </c>
      <c r="H91" s="10">
        <v>2024.0</v>
      </c>
      <c r="I91" s="11">
        <f t="shared" si="1"/>
        <v>523.2</v>
      </c>
      <c r="J91" s="12">
        <v>0.5</v>
      </c>
    </row>
    <row r="92">
      <c r="A92" s="13">
        <v>45600.0</v>
      </c>
      <c r="B92" s="7" t="s">
        <v>17</v>
      </c>
      <c r="C92" s="7" t="s">
        <v>15</v>
      </c>
      <c r="D92" s="7" t="s">
        <v>13</v>
      </c>
      <c r="E92" s="8">
        <v>13.0</v>
      </c>
      <c r="F92" s="8">
        <v>5252.0</v>
      </c>
      <c r="G92" s="10">
        <f t="shared" si="6"/>
        <v>2626</v>
      </c>
      <c r="H92" s="10">
        <v>2024.0</v>
      </c>
      <c r="I92" s="11">
        <f t="shared" si="1"/>
        <v>525.2</v>
      </c>
      <c r="J92" s="12">
        <v>0.5</v>
      </c>
    </row>
    <row r="93">
      <c r="A93" s="13">
        <v>45600.0</v>
      </c>
      <c r="B93" s="7" t="s">
        <v>20</v>
      </c>
      <c r="C93" s="7" t="s">
        <v>18</v>
      </c>
      <c r="D93" s="7" t="s">
        <v>25</v>
      </c>
      <c r="E93" s="8">
        <v>13.0</v>
      </c>
      <c r="F93" s="8">
        <v>5272.0</v>
      </c>
      <c r="G93" s="10">
        <f t="shared" si="6"/>
        <v>2636</v>
      </c>
      <c r="H93" s="10">
        <v>2024.0</v>
      </c>
      <c r="I93" s="11">
        <f t="shared" si="1"/>
        <v>527.2</v>
      </c>
      <c r="J93" s="12">
        <v>0.5</v>
      </c>
    </row>
    <row r="94">
      <c r="A94" s="13">
        <v>45600.0</v>
      </c>
      <c r="B94" s="7" t="s">
        <v>21</v>
      </c>
      <c r="C94" s="7" t="s">
        <v>12</v>
      </c>
      <c r="D94" s="7" t="s">
        <v>16</v>
      </c>
      <c r="E94" s="8">
        <v>13.0</v>
      </c>
      <c r="F94" s="8">
        <v>5292.0</v>
      </c>
      <c r="G94" s="10">
        <f t="shared" si="6"/>
        <v>2646</v>
      </c>
      <c r="H94" s="10">
        <v>2024.0</v>
      </c>
      <c r="I94" s="11">
        <f t="shared" si="1"/>
        <v>529.2</v>
      </c>
      <c r="J94" s="12">
        <v>0.5</v>
      </c>
    </row>
    <row r="95">
      <c r="A95" s="13">
        <v>45600.0</v>
      </c>
      <c r="B95" s="7" t="s">
        <v>11</v>
      </c>
      <c r="C95" s="7" t="s">
        <v>15</v>
      </c>
      <c r="D95" s="7" t="s">
        <v>19</v>
      </c>
      <c r="E95" s="8">
        <v>13.0</v>
      </c>
      <c r="F95" s="8">
        <v>5312.0</v>
      </c>
      <c r="G95" s="10">
        <f t="shared" si="6"/>
        <v>2656</v>
      </c>
      <c r="H95" s="10">
        <v>2024.0</v>
      </c>
      <c r="I95" s="11">
        <f t="shared" si="1"/>
        <v>531.2</v>
      </c>
      <c r="J95" s="12">
        <v>0.5</v>
      </c>
    </row>
    <row r="96">
      <c r="A96" s="13">
        <v>45600.0</v>
      </c>
      <c r="B96" s="7" t="s">
        <v>14</v>
      </c>
      <c r="C96" s="7" t="s">
        <v>18</v>
      </c>
      <c r="D96" s="7" t="s">
        <v>13</v>
      </c>
      <c r="E96" s="8">
        <v>13.0</v>
      </c>
      <c r="F96" s="8">
        <v>5332.0</v>
      </c>
      <c r="G96" s="10">
        <f t="shared" si="6"/>
        <v>2666</v>
      </c>
      <c r="H96" s="10">
        <v>2024.0</v>
      </c>
      <c r="I96" s="11">
        <f t="shared" si="1"/>
        <v>533.2</v>
      </c>
      <c r="J96" s="12">
        <v>0.5</v>
      </c>
    </row>
    <row r="97">
      <c r="A97" s="13">
        <v>45600.0</v>
      </c>
      <c r="B97" s="7" t="s">
        <v>17</v>
      </c>
      <c r="C97" s="7" t="s">
        <v>12</v>
      </c>
      <c r="D97" s="7" t="s">
        <v>16</v>
      </c>
      <c r="E97" s="8">
        <v>13.0</v>
      </c>
      <c r="F97" s="8">
        <v>5352.0</v>
      </c>
      <c r="G97" s="10">
        <f t="shared" si="6"/>
        <v>2676</v>
      </c>
      <c r="H97" s="10">
        <v>2024.0</v>
      </c>
      <c r="I97" s="11">
        <f t="shared" si="1"/>
        <v>535.2</v>
      </c>
      <c r="J97" s="12">
        <v>0.5</v>
      </c>
    </row>
    <row r="98">
      <c r="A98" s="13">
        <v>45600.0</v>
      </c>
      <c r="B98" s="7" t="s">
        <v>20</v>
      </c>
      <c r="C98" s="7" t="s">
        <v>15</v>
      </c>
      <c r="D98" s="7" t="s">
        <v>19</v>
      </c>
      <c r="E98" s="8">
        <v>13.0</v>
      </c>
      <c r="F98" s="8">
        <v>5372.0</v>
      </c>
      <c r="G98" s="10">
        <f t="shared" si="6"/>
        <v>2686</v>
      </c>
      <c r="H98" s="10">
        <v>2024.0</v>
      </c>
      <c r="I98" s="11">
        <f t="shared" si="1"/>
        <v>537.2</v>
      </c>
      <c r="J98" s="12">
        <v>0.5</v>
      </c>
    </row>
    <row r="99">
      <c r="A99" s="13">
        <v>45600.0</v>
      </c>
      <c r="B99" s="7" t="s">
        <v>21</v>
      </c>
      <c r="C99" s="7" t="s">
        <v>18</v>
      </c>
      <c r="D99" s="7" t="s">
        <v>13</v>
      </c>
      <c r="E99" s="8">
        <v>13.0</v>
      </c>
      <c r="F99" s="8">
        <v>5392.0</v>
      </c>
      <c r="G99" s="10">
        <f t="shared" si="6"/>
        <v>2696</v>
      </c>
      <c r="H99" s="10">
        <v>2024.0</v>
      </c>
      <c r="I99" s="11">
        <f t="shared" si="1"/>
        <v>539.2</v>
      </c>
      <c r="J99" s="12">
        <v>0.5</v>
      </c>
    </row>
    <row r="100">
      <c r="A100" s="13">
        <v>45600.0</v>
      </c>
      <c r="B100" s="7" t="s">
        <v>11</v>
      </c>
      <c r="C100" s="7" t="s">
        <v>12</v>
      </c>
      <c r="D100" s="7" t="s">
        <v>25</v>
      </c>
      <c r="E100" s="8">
        <v>14.0</v>
      </c>
      <c r="F100" s="8">
        <v>5412.0</v>
      </c>
      <c r="G100" s="10">
        <f t="shared" si="6"/>
        <v>2706</v>
      </c>
      <c r="H100" s="10">
        <v>2024.0</v>
      </c>
      <c r="I100" s="11">
        <f t="shared" si="1"/>
        <v>541.2</v>
      </c>
      <c r="J100" s="12">
        <v>0.5</v>
      </c>
    </row>
    <row r="101">
      <c r="A101" s="13">
        <v>45600.0</v>
      </c>
      <c r="B101" s="7" t="s">
        <v>14</v>
      </c>
      <c r="C101" s="7" t="s">
        <v>15</v>
      </c>
      <c r="D101" s="7" t="s">
        <v>16</v>
      </c>
      <c r="E101" s="8">
        <v>14.0</v>
      </c>
      <c r="F101" s="8">
        <v>5432.0</v>
      </c>
      <c r="G101" s="10">
        <f t="shared" si="6"/>
        <v>2716</v>
      </c>
      <c r="H101" s="10">
        <v>2024.0</v>
      </c>
      <c r="I101" s="11">
        <f t="shared" si="1"/>
        <v>543.2</v>
      </c>
      <c r="J101" s="12">
        <v>0.5</v>
      </c>
    </row>
    <row r="102">
      <c r="A102" s="13">
        <v>45600.0</v>
      </c>
      <c r="B102" s="7" t="s">
        <v>17</v>
      </c>
      <c r="C102" s="7" t="s">
        <v>18</v>
      </c>
      <c r="D102" s="7" t="s">
        <v>19</v>
      </c>
      <c r="E102" s="8">
        <v>14.0</v>
      </c>
      <c r="F102" s="8">
        <v>5452.0</v>
      </c>
      <c r="G102" s="10">
        <f t="shared" si="6"/>
        <v>2726</v>
      </c>
      <c r="H102" s="10">
        <v>2024.0</v>
      </c>
      <c r="I102" s="11">
        <f t="shared" si="1"/>
        <v>545.2</v>
      </c>
      <c r="J102" s="12">
        <v>0.5</v>
      </c>
    </row>
    <row r="103">
      <c r="A103" s="13">
        <v>45600.0</v>
      </c>
      <c r="B103" s="7" t="s">
        <v>20</v>
      </c>
      <c r="C103" s="7" t="s">
        <v>12</v>
      </c>
      <c r="D103" s="7" t="s">
        <v>13</v>
      </c>
      <c r="E103" s="8">
        <v>14.0</v>
      </c>
      <c r="F103" s="8">
        <v>5472.0</v>
      </c>
      <c r="G103" s="10">
        <f t="shared" si="6"/>
        <v>2736</v>
      </c>
      <c r="H103" s="10">
        <v>2024.0</v>
      </c>
      <c r="I103" s="11">
        <f t="shared" si="1"/>
        <v>547.2</v>
      </c>
      <c r="J103" s="12">
        <v>0.5</v>
      </c>
    </row>
    <row r="104">
      <c r="A104" s="13">
        <v>45600.0</v>
      </c>
      <c r="B104" s="7" t="s">
        <v>11</v>
      </c>
      <c r="C104" s="7" t="s">
        <v>12</v>
      </c>
      <c r="D104" s="7" t="s">
        <v>13</v>
      </c>
      <c r="E104" s="8">
        <v>14.0</v>
      </c>
      <c r="F104" s="8">
        <v>5492.0</v>
      </c>
      <c r="G104" s="10">
        <f t="shared" si="6"/>
        <v>2746</v>
      </c>
      <c r="H104" s="10">
        <v>2024.0</v>
      </c>
      <c r="I104" s="11">
        <f t="shared" si="1"/>
        <v>549.2</v>
      </c>
      <c r="J104" s="12">
        <v>0.5</v>
      </c>
    </row>
    <row r="105">
      <c r="A105" s="6" t="s">
        <v>63</v>
      </c>
      <c r="B105" s="7" t="s">
        <v>14</v>
      </c>
      <c r="C105" s="7" t="s">
        <v>15</v>
      </c>
      <c r="D105" s="7" t="s">
        <v>16</v>
      </c>
      <c r="E105" s="8">
        <v>14.0</v>
      </c>
      <c r="F105" s="8">
        <v>5512.0</v>
      </c>
      <c r="G105" s="10">
        <f t="shared" si="6"/>
        <v>2756</v>
      </c>
      <c r="H105" s="10">
        <v>2019.0</v>
      </c>
      <c r="I105" s="11">
        <f t="shared" si="1"/>
        <v>551.2</v>
      </c>
      <c r="J105" s="12">
        <v>0.5</v>
      </c>
    </row>
    <row r="106">
      <c r="A106" s="6" t="s">
        <v>64</v>
      </c>
      <c r="B106" s="7" t="s">
        <v>17</v>
      </c>
      <c r="C106" s="7" t="s">
        <v>18</v>
      </c>
      <c r="D106" s="7" t="s">
        <v>19</v>
      </c>
      <c r="E106" s="8">
        <v>14.0</v>
      </c>
      <c r="F106" s="8">
        <v>5532.0</v>
      </c>
      <c r="G106" s="10">
        <f t="shared" si="6"/>
        <v>2766</v>
      </c>
      <c r="H106" s="10">
        <v>2019.0</v>
      </c>
      <c r="I106" s="11">
        <f t="shared" si="1"/>
        <v>553.2</v>
      </c>
      <c r="J106" s="12">
        <v>0.5</v>
      </c>
    </row>
    <row r="107">
      <c r="A107" s="6" t="s">
        <v>65</v>
      </c>
      <c r="B107" s="7" t="s">
        <v>20</v>
      </c>
      <c r="C107" s="7" t="s">
        <v>12</v>
      </c>
      <c r="D107" s="7" t="s">
        <v>13</v>
      </c>
      <c r="E107" s="8">
        <v>14.0</v>
      </c>
      <c r="F107" s="8">
        <v>5552.0</v>
      </c>
      <c r="G107" s="10">
        <f t="shared" si="6"/>
        <v>2776</v>
      </c>
      <c r="H107" s="10">
        <v>2019.0</v>
      </c>
      <c r="I107" s="11">
        <f t="shared" si="1"/>
        <v>555.2</v>
      </c>
      <c r="J107" s="12">
        <v>0.5</v>
      </c>
    </row>
    <row r="108">
      <c r="A108" s="6" t="s">
        <v>66</v>
      </c>
      <c r="B108" s="7" t="s">
        <v>21</v>
      </c>
      <c r="C108" s="7" t="s">
        <v>15</v>
      </c>
      <c r="D108" s="7" t="s">
        <v>13</v>
      </c>
      <c r="E108" s="8">
        <v>14.0</v>
      </c>
      <c r="F108" s="8">
        <v>5572.0</v>
      </c>
      <c r="G108" s="10">
        <f t="shared" si="6"/>
        <v>2786</v>
      </c>
      <c r="H108" s="10">
        <v>2019.0</v>
      </c>
      <c r="I108" s="11">
        <f t="shared" si="1"/>
        <v>557.2</v>
      </c>
      <c r="J108" s="12">
        <v>0.5</v>
      </c>
    </row>
    <row r="109">
      <c r="A109" s="13">
        <v>43470.0</v>
      </c>
      <c r="B109" s="7" t="s">
        <v>11</v>
      </c>
      <c r="C109" s="7" t="s">
        <v>18</v>
      </c>
      <c r="D109" s="7" t="s">
        <v>16</v>
      </c>
      <c r="E109" s="8">
        <v>14.0</v>
      </c>
      <c r="F109" s="8">
        <v>5592.0</v>
      </c>
      <c r="G109" s="10">
        <f t="shared" si="6"/>
        <v>2796</v>
      </c>
      <c r="H109" s="10">
        <v>2019.0</v>
      </c>
      <c r="I109" s="11">
        <f t="shared" si="1"/>
        <v>559.2</v>
      </c>
      <c r="J109" s="12">
        <v>0.5</v>
      </c>
    </row>
    <row r="110">
      <c r="A110" s="13">
        <v>43501.0</v>
      </c>
      <c r="B110" s="7" t="s">
        <v>14</v>
      </c>
      <c r="C110" s="7" t="s">
        <v>12</v>
      </c>
      <c r="D110" s="7" t="s">
        <v>19</v>
      </c>
      <c r="E110" s="8">
        <v>14.0</v>
      </c>
      <c r="F110" s="8">
        <v>5612.0</v>
      </c>
      <c r="G110" s="10">
        <f t="shared" si="6"/>
        <v>2806</v>
      </c>
      <c r="H110" s="10">
        <v>2019.0</v>
      </c>
      <c r="I110" s="11">
        <f t="shared" si="1"/>
        <v>561.2</v>
      </c>
      <c r="J110" s="12">
        <v>0.5</v>
      </c>
    </row>
    <row r="111">
      <c r="A111" s="13">
        <v>43529.0</v>
      </c>
      <c r="B111" s="7" t="s">
        <v>17</v>
      </c>
      <c r="C111" s="7" t="s">
        <v>15</v>
      </c>
      <c r="D111" s="7" t="s">
        <v>16</v>
      </c>
      <c r="E111" s="8">
        <v>14.0</v>
      </c>
      <c r="F111" s="8">
        <v>5633.0</v>
      </c>
      <c r="G111" s="10">
        <f t="shared" si="6"/>
        <v>2816.5</v>
      </c>
      <c r="H111" s="10">
        <v>2019.0</v>
      </c>
      <c r="I111" s="11">
        <f t="shared" si="1"/>
        <v>563.3</v>
      </c>
      <c r="J111" s="12">
        <v>0.5</v>
      </c>
    </row>
    <row r="112">
      <c r="A112" s="13">
        <v>43560.0</v>
      </c>
      <c r="B112" s="7" t="s">
        <v>20</v>
      </c>
      <c r="C112" s="7" t="s">
        <v>18</v>
      </c>
      <c r="D112" s="7" t="s">
        <v>16</v>
      </c>
      <c r="E112" s="8">
        <v>15.0</v>
      </c>
      <c r="F112" s="8">
        <v>5653.0</v>
      </c>
      <c r="G112" s="10">
        <f t="shared" si="6"/>
        <v>2826.5</v>
      </c>
      <c r="H112" s="10">
        <v>2019.0</v>
      </c>
      <c r="I112" s="11">
        <f t="shared" si="1"/>
        <v>565.3</v>
      </c>
      <c r="J112" s="12">
        <v>0.5</v>
      </c>
    </row>
    <row r="113">
      <c r="A113" s="13">
        <v>43590.0</v>
      </c>
      <c r="B113" s="7" t="s">
        <v>21</v>
      </c>
      <c r="C113" s="7" t="s">
        <v>12</v>
      </c>
      <c r="D113" s="7" t="s">
        <v>25</v>
      </c>
      <c r="E113" s="8">
        <v>15.0</v>
      </c>
      <c r="F113" s="8">
        <v>5673.0</v>
      </c>
      <c r="G113" s="10">
        <f t="shared" si="6"/>
        <v>2836.5</v>
      </c>
      <c r="H113" s="10">
        <v>2019.0</v>
      </c>
      <c r="I113" s="11">
        <f t="shared" si="1"/>
        <v>567.3</v>
      </c>
      <c r="J113" s="12">
        <v>0.5</v>
      </c>
    </row>
    <row r="114">
      <c r="A114" s="13">
        <v>43621.0</v>
      </c>
      <c r="B114" s="7" t="s">
        <v>11</v>
      </c>
      <c r="C114" s="7" t="s">
        <v>15</v>
      </c>
      <c r="D114" s="7" t="s">
        <v>16</v>
      </c>
      <c r="E114" s="8">
        <v>15.0</v>
      </c>
      <c r="F114" s="8">
        <v>5693.0</v>
      </c>
      <c r="G114" s="10">
        <f t="shared" si="6"/>
        <v>2846.5</v>
      </c>
      <c r="H114" s="10">
        <v>2019.0</v>
      </c>
      <c r="I114" s="11">
        <f t="shared" si="1"/>
        <v>569.3</v>
      </c>
      <c r="J114" s="12">
        <v>0.5</v>
      </c>
    </row>
    <row r="115">
      <c r="A115" s="13">
        <v>43651.0</v>
      </c>
      <c r="B115" s="7" t="s">
        <v>14</v>
      </c>
      <c r="C115" s="7" t="s">
        <v>18</v>
      </c>
      <c r="D115" s="7" t="s">
        <v>19</v>
      </c>
      <c r="E115" s="8">
        <v>15.0</v>
      </c>
      <c r="F115" s="8">
        <v>5713.0</v>
      </c>
      <c r="G115" s="10">
        <f t="shared" si="6"/>
        <v>2856.5</v>
      </c>
      <c r="H115" s="10">
        <v>2019.0</v>
      </c>
      <c r="I115" s="11">
        <f t="shared" si="1"/>
        <v>571.3</v>
      </c>
      <c r="J115" s="12">
        <v>0.5</v>
      </c>
    </row>
    <row r="116">
      <c r="A116" s="13">
        <v>43682.0</v>
      </c>
      <c r="B116" s="7" t="s">
        <v>17</v>
      </c>
      <c r="C116" s="7" t="s">
        <v>12</v>
      </c>
      <c r="D116" s="7" t="s">
        <v>13</v>
      </c>
      <c r="E116" s="8">
        <v>15.0</v>
      </c>
      <c r="F116" s="8">
        <v>5733.0</v>
      </c>
      <c r="G116" s="10">
        <f t="shared" si="6"/>
        <v>2866.5</v>
      </c>
      <c r="H116" s="10">
        <v>2019.0</v>
      </c>
      <c r="I116" s="11">
        <f t="shared" si="1"/>
        <v>573.3</v>
      </c>
      <c r="J116" s="12">
        <v>0.5</v>
      </c>
    </row>
    <row r="117">
      <c r="A117" s="13">
        <v>43713.0</v>
      </c>
      <c r="B117" s="7" t="s">
        <v>20</v>
      </c>
      <c r="C117" s="7" t="s">
        <v>15</v>
      </c>
      <c r="D117" s="7" t="s">
        <v>16</v>
      </c>
      <c r="E117" s="8">
        <v>15.0</v>
      </c>
      <c r="F117" s="8">
        <v>5753.0</v>
      </c>
      <c r="G117" s="10">
        <f t="shared" si="6"/>
        <v>2876.5</v>
      </c>
      <c r="H117" s="10">
        <v>2019.0</v>
      </c>
      <c r="I117" s="11">
        <f t="shared" si="1"/>
        <v>575.3</v>
      </c>
      <c r="J117" s="12">
        <v>0.5</v>
      </c>
    </row>
    <row r="118">
      <c r="A118" s="13">
        <v>43743.0</v>
      </c>
      <c r="B118" s="7" t="s">
        <v>21</v>
      </c>
      <c r="C118" s="7" t="s">
        <v>18</v>
      </c>
      <c r="D118" s="7" t="s">
        <v>19</v>
      </c>
      <c r="E118" s="8">
        <v>15.0</v>
      </c>
      <c r="F118" s="8">
        <v>5773.0</v>
      </c>
      <c r="G118" s="10">
        <f t="shared" si="6"/>
        <v>2886.5</v>
      </c>
      <c r="H118" s="10">
        <v>2019.0</v>
      </c>
      <c r="I118" s="11">
        <f t="shared" si="1"/>
        <v>577.3</v>
      </c>
      <c r="J118" s="12">
        <v>0.5</v>
      </c>
    </row>
    <row r="119">
      <c r="A119" s="13">
        <v>43774.0</v>
      </c>
      <c r="B119" s="7" t="s">
        <v>11</v>
      </c>
      <c r="C119" s="7" t="s">
        <v>12</v>
      </c>
      <c r="D119" s="7" t="s">
        <v>13</v>
      </c>
      <c r="E119" s="8">
        <v>15.0</v>
      </c>
      <c r="F119" s="8">
        <v>5793.0</v>
      </c>
      <c r="G119" s="10">
        <f t="shared" si="6"/>
        <v>2896.5</v>
      </c>
      <c r="H119" s="10">
        <v>2019.0</v>
      </c>
      <c r="I119" s="11">
        <f t="shared" si="1"/>
        <v>579.3</v>
      </c>
      <c r="J119" s="12">
        <v>0.5</v>
      </c>
    </row>
    <row r="120">
      <c r="A120" s="13">
        <v>43804.0</v>
      </c>
      <c r="B120" s="7" t="s">
        <v>14</v>
      </c>
      <c r="C120" s="7" t="s">
        <v>15</v>
      </c>
      <c r="D120" s="7" t="s">
        <v>25</v>
      </c>
      <c r="E120" s="8">
        <v>15.0</v>
      </c>
      <c r="F120" s="8">
        <v>5813.0</v>
      </c>
      <c r="G120" s="10">
        <f t="shared" si="6"/>
        <v>2906.5</v>
      </c>
      <c r="H120" s="10">
        <v>2019.0</v>
      </c>
      <c r="I120" s="11">
        <f t="shared" si="1"/>
        <v>581.3</v>
      </c>
      <c r="J120" s="12">
        <v>0.5</v>
      </c>
    </row>
    <row r="121">
      <c r="A121" s="6" t="s">
        <v>67</v>
      </c>
      <c r="B121" s="7" t="s">
        <v>17</v>
      </c>
      <c r="C121" s="7" t="s">
        <v>18</v>
      </c>
      <c r="D121" s="7" t="s">
        <v>16</v>
      </c>
      <c r="E121" s="8">
        <v>15.0</v>
      </c>
      <c r="F121" s="8">
        <v>5833.0</v>
      </c>
      <c r="G121" s="10">
        <f t="shared" si="6"/>
        <v>2916.5</v>
      </c>
      <c r="H121" s="10">
        <v>2019.0</v>
      </c>
      <c r="I121" s="11">
        <f t="shared" si="1"/>
        <v>583.3</v>
      </c>
      <c r="J121" s="12">
        <v>0.5</v>
      </c>
    </row>
    <row r="122">
      <c r="A122" s="6" t="s">
        <v>68</v>
      </c>
      <c r="B122" s="7" t="s">
        <v>20</v>
      </c>
      <c r="C122" s="7" t="s">
        <v>12</v>
      </c>
      <c r="D122" s="7" t="s">
        <v>19</v>
      </c>
      <c r="E122" s="8">
        <v>15.0</v>
      </c>
      <c r="F122" s="8">
        <v>5853.0</v>
      </c>
      <c r="G122" s="10">
        <f t="shared" si="6"/>
        <v>2926.5</v>
      </c>
      <c r="H122" s="10">
        <v>2019.0</v>
      </c>
      <c r="I122" s="11">
        <f t="shared" si="1"/>
        <v>585.3</v>
      </c>
      <c r="J122" s="12">
        <v>0.5</v>
      </c>
    </row>
    <row r="123">
      <c r="A123" s="6" t="s">
        <v>69</v>
      </c>
      <c r="B123" s="7" t="s">
        <v>21</v>
      </c>
      <c r="C123" s="7" t="s">
        <v>15</v>
      </c>
      <c r="D123" s="7" t="s">
        <v>13</v>
      </c>
      <c r="E123" s="8">
        <v>15.0</v>
      </c>
      <c r="F123" s="8">
        <v>5873.0</v>
      </c>
      <c r="G123" s="10">
        <f t="shared" si="6"/>
        <v>2936.5</v>
      </c>
      <c r="H123" s="10">
        <v>2019.0</v>
      </c>
      <c r="I123" s="11">
        <f t="shared" si="1"/>
        <v>587.3</v>
      </c>
      <c r="J123" s="12">
        <v>0.5</v>
      </c>
    </row>
    <row r="124">
      <c r="A124" s="6" t="s">
        <v>70</v>
      </c>
      <c r="B124" s="7" t="s">
        <v>11</v>
      </c>
      <c r="C124" s="7" t="s">
        <v>18</v>
      </c>
      <c r="D124" s="7" t="s">
        <v>16</v>
      </c>
      <c r="E124" s="8">
        <v>16.0</v>
      </c>
      <c r="F124" s="8">
        <v>5893.0</v>
      </c>
      <c r="G124" s="10">
        <f t="shared" si="6"/>
        <v>2946.5</v>
      </c>
      <c r="H124" s="10">
        <v>2019.0</v>
      </c>
      <c r="I124" s="11">
        <f t="shared" si="1"/>
        <v>589.3</v>
      </c>
      <c r="J124" s="12">
        <v>0.5</v>
      </c>
    </row>
    <row r="125">
      <c r="A125" s="6" t="s">
        <v>71</v>
      </c>
      <c r="B125" s="7" t="s">
        <v>14</v>
      </c>
      <c r="C125" s="7" t="s">
        <v>12</v>
      </c>
      <c r="D125" s="7" t="s">
        <v>19</v>
      </c>
      <c r="E125" s="8">
        <v>16.0</v>
      </c>
      <c r="F125" s="8">
        <v>5913.0</v>
      </c>
      <c r="G125" s="10">
        <f t="shared" si="6"/>
        <v>2956.5</v>
      </c>
      <c r="H125" s="10">
        <v>2019.0</v>
      </c>
      <c r="I125" s="11">
        <f t="shared" si="1"/>
        <v>591.3</v>
      </c>
      <c r="J125" s="12">
        <v>0.5</v>
      </c>
    </row>
    <row r="126">
      <c r="A126" s="6" t="s">
        <v>72</v>
      </c>
      <c r="B126" s="7" t="s">
        <v>17</v>
      </c>
      <c r="C126" s="7" t="s">
        <v>15</v>
      </c>
      <c r="D126" s="7" t="s">
        <v>13</v>
      </c>
      <c r="E126" s="8">
        <v>16.0</v>
      </c>
      <c r="F126" s="8">
        <v>5933.0</v>
      </c>
      <c r="G126" s="10">
        <f t="shared" si="6"/>
        <v>2966.5</v>
      </c>
      <c r="H126" s="10">
        <v>2019.0</v>
      </c>
      <c r="I126" s="11">
        <f t="shared" si="1"/>
        <v>593.3</v>
      </c>
      <c r="J126" s="12">
        <v>0.5</v>
      </c>
    </row>
    <row r="127">
      <c r="A127" s="6" t="s">
        <v>73</v>
      </c>
      <c r="B127" s="7" t="s">
        <v>20</v>
      </c>
      <c r="C127" s="7" t="s">
        <v>18</v>
      </c>
      <c r="D127" s="7" t="s">
        <v>25</v>
      </c>
      <c r="E127" s="8">
        <v>16.0</v>
      </c>
      <c r="F127" s="8">
        <v>5953.0</v>
      </c>
      <c r="G127" s="10">
        <f t="shared" si="6"/>
        <v>2976.5</v>
      </c>
      <c r="H127" s="10">
        <v>2019.0</v>
      </c>
      <c r="I127" s="11">
        <f t="shared" si="1"/>
        <v>595.3</v>
      </c>
      <c r="J127" s="12">
        <v>0.5</v>
      </c>
    </row>
    <row r="128">
      <c r="A128" s="6" t="s">
        <v>74</v>
      </c>
      <c r="B128" s="7" t="s">
        <v>21</v>
      </c>
      <c r="C128" s="7" t="s">
        <v>12</v>
      </c>
      <c r="D128" s="7" t="s">
        <v>16</v>
      </c>
      <c r="E128" s="8">
        <v>16.0</v>
      </c>
      <c r="F128" s="8">
        <v>5973.0</v>
      </c>
      <c r="G128" s="10">
        <f t="shared" si="6"/>
        <v>2986.5</v>
      </c>
      <c r="H128" s="10">
        <v>2019.0</v>
      </c>
      <c r="I128" s="11">
        <f t="shared" si="1"/>
        <v>597.3</v>
      </c>
      <c r="J128" s="12">
        <v>0.5</v>
      </c>
    </row>
    <row r="129">
      <c r="A129" s="6" t="s">
        <v>75</v>
      </c>
      <c r="B129" s="7" t="s">
        <v>11</v>
      </c>
      <c r="C129" s="7" t="s">
        <v>15</v>
      </c>
      <c r="D129" s="7" t="s">
        <v>19</v>
      </c>
      <c r="E129" s="8">
        <v>16.0</v>
      </c>
      <c r="F129" s="8">
        <v>5993.0</v>
      </c>
      <c r="G129" s="10">
        <f t="shared" si="6"/>
        <v>2996.5</v>
      </c>
      <c r="H129" s="10">
        <v>2019.0</v>
      </c>
      <c r="I129" s="11">
        <f t="shared" si="1"/>
        <v>599.3</v>
      </c>
      <c r="J129" s="12">
        <v>0.5</v>
      </c>
    </row>
    <row r="130">
      <c r="A130" s="6" t="s">
        <v>76</v>
      </c>
      <c r="B130" s="7" t="s">
        <v>14</v>
      </c>
      <c r="C130" s="7" t="s">
        <v>18</v>
      </c>
      <c r="D130" s="7" t="s">
        <v>13</v>
      </c>
      <c r="E130" s="8">
        <v>16.0</v>
      </c>
      <c r="F130" s="8">
        <v>6013.0</v>
      </c>
      <c r="G130" s="10">
        <f t="shared" si="6"/>
        <v>3006.5</v>
      </c>
      <c r="H130" s="10">
        <v>2019.0</v>
      </c>
      <c r="I130" s="11">
        <f t="shared" si="1"/>
        <v>601.3</v>
      </c>
      <c r="J130" s="12">
        <v>0.5</v>
      </c>
    </row>
    <row r="131">
      <c r="A131" s="6" t="s">
        <v>77</v>
      </c>
      <c r="B131" s="7" t="s">
        <v>17</v>
      </c>
      <c r="C131" s="7" t="s">
        <v>12</v>
      </c>
      <c r="D131" s="7" t="s">
        <v>16</v>
      </c>
      <c r="E131" s="8">
        <v>16.0</v>
      </c>
      <c r="F131" s="8">
        <v>6033.0</v>
      </c>
      <c r="G131" s="10">
        <f t="shared" si="6"/>
        <v>3016.5</v>
      </c>
      <c r="H131" s="10">
        <v>2019.0</v>
      </c>
      <c r="I131" s="11">
        <f t="shared" si="1"/>
        <v>603.3</v>
      </c>
      <c r="J131" s="12">
        <v>0.5</v>
      </c>
    </row>
    <row r="132">
      <c r="A132" s="6" t="s">
        <v>78</v>
      </c>
      <c r="B132" s="7" t="s">
        <v>20</v>
      </c>
      <c r="C132" s="7" t="s">
        <v>15</v>
      </c>
      <c r="D132" s="7" t="s">
        <v>19</v>
      </c>
      <c r="E132" s="8">
        <v>16.0</v>
      </c>
      <c r="F132" s="8">
        <v>6053.0</v>
      </c>
      <c r="G132" s="10">
        <f t="shared" si="6"/>
        <v>3026.5</v>
      </c>
      <c r="H132" s="10">
        <v>2019.0</v>
      </c>
      <c r="I132" s="11">
        <f t="shared" si="1"/>
        <v>605.3</v>
      </c>
      <c r="J132" s="12">
        <v>0.5</v>
      </c>
    </row>
    <row r="133">
      <c r="A133" s="6" t="s">
        <v>79</v>
      </c>
      <c r="B133" s="7" t="s">
        <v>21</v>
      </c>
      <c r="C133" s="7" t="s">
        <v>18</v>
      </c>
      <c r="D133" s="7" t="s">
        <v>13</v>
      </c>
      <c r="E133" s="8">
        <v>16.0</v>
      </c>
      <c r="F133" s="8">
        <v>6073.0</v>
      </c>
      <c r="G133" s="10">
        <f t="shared" si="6"/>
        <v>3036.5</v>
      </c>
      <c r="H133" s="10">
        <v>2019.0</v>
      </c>
      <c r="I133" s="11">
        <f t="shared" si="1"/>
        <v>607.3</v>
      </c>
      <c r="J133" s="12">
        <v>0.5</v>
      </c>
    </row>
    <row r="134">
      <c r="A134" s="6" t="s">
        <v>80</v>
      </c>
      <c r="B134" s="7" t="s">
        <v>11</v>
      </c>
      <c r="C134" s="7" t="s">
        <v>12</v>
      </c>
      <c r="D134" s="7" t="s">
        <v>25</v>
      </c>
      <c r="E134" s="8">
        <v>16.0</v>
      </c>
      <c r="F134" s="8">
        <v>6093.0</v>
      </c>
      <c r="G134" s="10">
        <f t="shared" si="6"/>
        <v>3046.5</v>
      </c>
      <c r="H134" s="10">
        <v>2019.0</v>
      </c>
      <c r="I134" s="11">
        <f t="shared" si="1"/>
        <v>609.3</v>
      </c>
      <c r="J134" s="12">
        <v>0.5</v>
      </c>
    </row>
    <row r="135">
      <c r="A135" s="6" t="s">
        <v>81</v>
      </c>
      <c r="B135" s="7" t="s">
        <v>14</v>
      </c>
      <c r="C135" s="7" t="s">
        <v>15</v>
      </c>
      <c r="D135" s="7" t="s">
        <v>16</v>
      </c>
      <c r="E135" s="8">
        <v>16.0</v>
      </c>
      <c r="F135" s="8">
        <v>6113.0</v>
      </c>
      <c r="G135" s="10">
        <f t="shared" si="6"/>
        <v>3056.5</v>
      </c>
      <c r="H135" s="10">
        <v>2019.0</v>
      </c>
      <c r="I135" s="11">
        <f t="shared" si="1"/>
        <v>611.3</v>
      </c>
      <c r="J135" s="12">
        <v>0.5</v>
      </c>
    </row>
    <row r="136">
      <c r="A136" s="6" t="s">
        <v>82</v>
      </c>
      <c r="B136" s="7" t="s">
        <v>17</v>
      </c>
      <c r="C136" s="7" t="s">
        <v>18</v>
      </c>
      <c r="D136" s="7" t="s">
        <v>19</v>
      </c>
      <c r="E136" s="8">
        <v>16.0</v>
      </c>
      <c r="F136" s="8">
        <v>6133.0</v>
      </c>
      <c r="G136" s="10">
        <f t="shared" si="6"/>
        <v>3066.5</v>
      </c>
      <c r="H136" s="10">
        <v>2019.0</v>
      </c>
      <c r="I136" s="11">
        <f t="shared" si="1"/>
        <v>613.3</v>
      </c>
      <c r="J136" s="12">
        <v>0.5</v>
      </c>
    </row>
    <row r="137">
      <c r="A137" s="6" t="s">
        <v>83</v>
      </c>
      <c r="B137" s="7" t="s">
        <v>20</v>
      </c>
      <c r="C137" s="7" t="s">
        <v>12</v>
      </c>
      <c r="D137" s="7" t="s">
        <v>13</v>
      </c>
      <c r="E137" s="8">
        <v>17.0</v>
      </c>
      <c r="F137" s="8">
        <v>6153.0</v>
      </c>
      <c r="G137" s="10">
        <f t="shared" si="6"/>
        <v>3076.5</v>
      </c>
      <c r="H137" s="10">
        <v>2019.0</v>
      </c>
      <c r="I137" s="11">
        <f t="shared" si="1"/>
        <v>615.3</v>
      </c>
      <c r="J137" s="12">
        <v>0.5</v>
      </c>
    </row>
    <row r="138">
      <c r="A138" s="6" t="s">
        <v>84</v>
      </c>
      <c r="B138" s="7" t="s">
        <v>11</v>
      </c>
      <c r="C138" s="7" t="s">
        <v>12</v>
      </c>
      <c r="D138" s="7" t="s">
        <v>13</v>
      </c>
      <c r="E138" s="8">
        <v>17.0</v>
      </c>
      <c r="F138" s="8">
        <v>6173.0</v>
      </c>
      <c r="G138" s="10">
        <f t="shared" si="6"/>
        <v>3086.5</v>
      </c>
      <c r="H138" s="10">
        <v>2019.0</v>
      </c>
      <c r="I138" s="11">
        <f t="shared" si="1"/>
        <v>617.3</v>
      </c>
      <c r="J138" s="12">
        <v>0.5</v>
      </c>
    </row>
    <row r="139">
      <c r="A139" s="6" t="s">
        <v>85</v>
      </c>
      <c r="B139" s="7" t="s">
        <v>14</v>
      </c>
      <c r="C139" s="7" t="s">
        <v>15</v>
      </c>
      <c r="D139" s="7" t="s">
        <v>16</v>
      </c>
      <c r="E139" s="8">
        <v>17.0</v>
      </c>
      <c r="F139" s="8">
        <v>6193.0</v>
      </c>
      <c r="G139" s="10">
        <f t="shared" si="6"/>
        <v>3096.5</v>
      </c>
      <c r="H139" s="10">
        <v>2019.0</v>
      </c>
      <c r="I139" s="11">
        <f t="shared" si="1"/>
        <v>619.3</v>
      </c>
      <c r="J139" s="12">
        <v>0.5</v>
      </c>
    </row>
    <row r="140">
      <c r="A140" s="13">
        <v>43471.0</v>
      </c>
      <c r="B140" s="7" t="s">
        <v>17</v>
      </c>
      <c r="C140" s="7" t="s">
        <v>18</v>
      </c>
      <c r="D140" s="7" t="s">
        <v>19</v>
      </c>
      <c r="E140" s="8">
        <v>17.0</v>
      </c>
      <c r="F140" s="8">
        <v>6213.0</v>
      </c>
      <c r="G140" s="10">
        <f t="shared" si="6"/>
        <v>3106.5</v>
      </c>
      <c r="H140" s="10">
        <v>2019.0</v>
      </c>
      <c r="I140" s="11">
        <f t="shared" si="1"/>
        <v>621.3</v>
      </c>
      <c r="J140" s="12">
        <v>0.5</v>
      </c>
    </row>
    <row r="141">
      <c r="A141" s="13">
        <v>43502.0</v>
      </c>
      <c r="B141" s="7" t="s">
        <v>20</v>
      </c>
      <c r="C141" s="7" t="s">
        <v>12</v>
      </c>
      <c r="D141" s="7" t="s">
        <v>13</v>
      </c>
      <c r="E141" s="8">
        <v>17.0</v>
      </c>
      <c r="F141" s="8">
        <v>6233.0</v>
      </c>
      <c r="G141" s="10">
        <f t="shared" si="6"/>
        <v>3116.5</v>
      </c>
      <c r="H141" s="10">
        <v>2019.0</v>
      </c>
      <c r="I141" s="11">
        <f t="shared" si="1"/>
        <v>623.3</v>
      </c>
      <c r="J141" s="12">
        <v>0.5</v>
      </c>
    </row>
    <row r="142">
      <c r="A142" s="13">
        <v>43530.0</v>
      </c>
      <c r="B142" s="7" t="s">
        <v>21</v>
      </c>
      <c r="C142" s="7" t="s">
        <v>15</v>
      </c>
      <c r="D142" s="7" t="s">
        <v>13</v>
      </c>
      <c r="E142" s="8">
        <v>17.0</v>
      </c>
      <c r="F142" s="8">
        <v>6253.0</v>
      </c>
      <c r="G142" s="10">
        <f t="shared" si="6"/>
        <v>3126.5</v>
      </c>
      <c r="H142" s="10">
        <v>2019.0</v>
      </c>
      <c r="I142" s="11">
        <f t="shared" si="1"/>
        <v>625.3</v>
      </c>
      <c r="J142" s="12">
        <v>0.5</v>
      </c>
    </row>
    <row r="143">
      <c r="A143" s="13">
        <v>43561.0</v>
      </c>
      <c r="B143" s="7" t="s">
        <v>11</v>
      </c>
      <c r="C143" s="7" t="s">
        <v>18</v>
      </c>
      <c r="D143" s="7" t="s">
        <v>16</v>
      </c>
      <c r="E143" s="8">
        <v>17.0</v>
      </c>
      <c r="F143" s="8">
        <v>6274.0</v>
      </c>
      <c r="G143" s="10">
        <f t="shared" si="6"/>
        <v>3137</v>
      </c>
      <c r="H143" s="10">
        <v>2019.0</v>
      </c>
      <c r="I143" s="11">
        <f t="shared" si="1"/>
        <v>627.4</v>
      </c>
      <c r="J143" s="12">
        <v>0.5</v>
      </c>
    </row>
    <row r="144">
      <c r="A144" s="13">
        <v>43591.0</v>
      </c>
      <c r="B144" s="7" t="s">
        <v>14</v>
      </c>
      <c r="C144" s="7" t="s">
        <v>12</v>
      </c>
      <c r="D144" s="7" t="s">
        <v>19</v>
      </c>
      <c r="E144" s="8">
        <v>17.0</v>
      </c>
      <c r="F144" s="8">
        <v>6294.0</v>
      </c>
      <c r="G144" s="10">
        <f t="shared" si="6"/>
        <v>3147</v>
      </c>
      <c r="H144" s="10">
        <v>2019.0</v>
      </c>
      <c r="I144" s="11">
        <f t="shared" si="1"/>
        <v>629.4</v>
      </c>
      <c r="J144" s="12">
        <v>0.5</v>
      </c>
    </row>
    <row r="145">
      <c r="A145" s="13">
        <v>43622.0</v>
      </c>
      <c r="B145" s="7" t="s">
        <v>17</v>
      </c>
      <c r="C145" s="7" t="s">
        <v>15</v>
      </c>
      <c r="D145" s="7" t="s">
        <v>16</v>
      </c>
      <c r="E145" s="8">
        <v>17.0</v>
      </c>
      <c r="F145" s="8">
        <v>6314.0</v>
      </c>
      <c r="G145" s="10">
        <f t="shared" si="6"/>
        <v>3157</v>
      </c>
      <c r="H145" s="10">
        <v>2019.0</v>
      </c>
      <c r="I145" s="11">
        <f t="shared" si="1"/>
        <v>631.4</v>
      </c>
      <c r="J145" s="12">
        <v>0.5</v>
      </c>
    </row>
    <row r="146">
      <c r="A146" s="13">
        <v>43652.0</v>
      </c>
      <c r="B146" s="7" t="s">
        <v>20</v>
      </c>
      <c r="C146" s="7" t="s">
        <v>18</v>
      </c>
      <c r="D146" s="7" t="s">
        <v>16</v>
      </c>
      <c r="E146" s="8">
        <v>17.0</v>
      </c>
      <c r="F146" s="8">
        <v>6334.0</v>
      </c>
      <c r="G146" s="10">
        <f t="shared" si="6"/>
        <v>3167</v>
      </c>
      <c r="H146" s="10">
        <v>2019.0</v>
      </c>
      <c r="I146" s="11">
        <f t="shared" si="1"/>
        <v>633.4</v>
      </c>
      <c r="J146" s="12">
        <v>0.5</v>
      </c>
    </row>
    <row r="147">
      <c r="A147" s="13">
        <v>43683.0</v>
      </c>
      <c r="B147" s="7" t="s">
        <v>21</v>
      </c>
      <c r="C147" s="7" t="s">
        <v>12</v>
      </c>
      <c r="D147" s="7" t="s">
        <v>25</v>
      </c>
      <c r="E147" s="8">
        <v>17.0</v>
      </c>
      <c r="F147" s="8">
        <v>6354.0</v>
      </c>
      <c r="G147" s="10">
        <f t="shared" si="6"/>
        <v>3177</v>
      </c>
      <c r="H147" s="10">
        <v>2019.0</v>
      </c>
      <c r="I147" s="11">
        <f t="shared" si="1"/>
        <v>635.4</v>
      </c>
      <c r="J147" s="12">
        <v>0.5</v>
      </c>
    </row>
    <row r="148">
      <c r="A148" s="13">
        <v>43714.0</v>
      </c>
      <c r="B148" s="7" t="s">
        <v>11</v>
      </c>
      <c r="C148" s="7" t="s">
        <v>15</v>
      </c>
      <c r="D148" s="7" t="s">
        <v>16</v>
      </c>
      <c r="E148" s="8">
        <v>17.0</v>
      </c>
      <c r="F148" s="8">
        <v>6374.0</v>
      </c>
      <c r="G148" s="10">
        <f t="shared" si="6"/>
        <v>3187</v>
      </c>
      <c r="H148" s="10">
        <v>2019.0</v>
      </c>
      <c r="I148" s="11">
        <f t="shared" si="1"/>
        <v>637.4</v>
      </c>
      <c r="J148" s="12">
        <v>0.5</v>
      </c>
    </row>
    <row r="149">
      <c r="A149" s="13">
        <v>43744.0</v>
      </c>
      <c r="B149" s="7" t="s">
        <v>14</v>
      </c>
      <c r="C149" s="7" t="s">
        <v>18</v>
      </c>
      <c r="D149" s="7" t="s">
        <v>19</v>
      </c>
      <c r="E149" s="8">
        <v>18.0</v>
      </c>
      <c r="F149" s="8">
        <v>6394.0</v>
      </c>
      <c r="G149" s="10">
        <f t="shared" si="6"/>
        <v>3197</v>
      </c>
      <c r="H149" s="10">
        <v>2019.0</v>
      </c>
      <c r="I149" s="11">
        <f t="shared" si="1"/>
        <v>639.4</v>
      </c>
      <c r="J149" s="12">
        <v>0.5</v>
      </c>
    </row>
    <row r="150">
      <c r="A150" s="13">
        <v>43775.0</v>
      </c>
      <c r="B150" s="7" t="s">
        <v>17</v>
      </c>
      <c r="C150" s="7" t="s">
        <v>12</v>
      </c>
      <c r="D150" s="7" t="s">
        <v>13</v>
      </c>
      <c r="E150" s="8">
        <v>18.0</v>
      </c>
      <c r="F150" s="8">
        <v>6414.0</v>
      </c>
      <c r="G150" s="10">
        <f t="shared" si="6"/>
        <v>3207</v>
      </c>
      <c r="H150" s="10">
        <v>2019.0</v>
      </c>
      <c r="I150" s="11">
        <f t="shared" si="1"/>
        <v>641.4</v>
      </c>
      <c r="J150" s="12">
        <v>0.5</v>
      </c>
    </row>
    <row r="151">
      <c r="A151" s="13">
        <v>43805.0</v>
      </c>
      <c r="B151" s="7" t="s">
        <v>20</v>
      </c>
      <c r="C151" s="7" t="s">
        <v>15</v>
      </c>
      <c r="D151" s="7" t="s">
        <v>16</v>
      </c>
      <c r="E151" s="8">
        <v>18.0</v>
      </c>
      <c r="F151" s="8">
        <v>6434.0</v>
      </c>
      <c r="G151" s="10">
        <f t="shared" si="6"/>
        <v>3217</v>
      </c>
      <c r="H151" s="10">
        <v>2019.0</v>
      </c>
      <c r="I151" s="11">
        <f t="shared" si="1"/>
        <v>643.4</v>
      </c>
      <c r="J151" s="12">
        <v>0.5</v>
      </c>
    </row>
    <row r="152">
      <c r="A152" s="6" t="s">
        <v>86</v>
      </c>
      <c r="B152" s="7" t="s">
        <v>21</v>
      </c>
      <c r="C152" s="7" t="s">
        <v>18</v>
      </c>
      <c r="D152" s="7" t="s">
        <v>19</v>
      </c>
      <c r="E152" s="8">
        <v>18.0</v>
      </c>
      <c r="F152" s="8">
        <v>6454.0</v>
      </c>
      <c r="G152" s="10">
        <f t="shared" si="6"/>
        <v>3227</v>
      </c>
      <c r="H152" s="10">
        <v>2019.0</v>
      </c>
      <c r="I152" s="11">
        <f t="shared" si="1"/>
        <v>645.4</v>
      </c>
      <c r="J152" s="12">
        <v>0.5</v>
      </c>
    </row>
    <row r="153">
      <c r="A153" s="6" t="s">
        <v>87</v>
      </c>
      <c r="B153" s="7" t="s">
        <v>11</v>
      </c>
      <c r="C153" s="7" t="s">
        <v>12</v>
      </c>
      <c r="D153" s="7" t="s">
        <v>13</v>
      </c>
      <c r="E153" s="8">
        <v>18.0</v>
      </c>
      <c r="F153" s="8">
        <v>6474.0</v>
      </c>
      <c r="G153" s="10">
        <f t="shared" si="6"/>
        <v>3237</v>
      </c>
      <c r="H153" s="10">
        <v>2019.0</v>
      </c>
      <c r="I153" s="11">
        <f t="shared" si="1"/>
        <v>647.4</v>
      </c>
      <c r="J153" s="12">
        <v>0.5</v>
      </c>
    </row>
    <row r="154">
      <c r="A154" s="6" t="s">
        <v>88</v>
      </c>
      <c r="B154" s="7" t="s">
        <v>14</v>
      </c>
      <c r="C154" s="7" t="s">
        <v>15</v>
      </c>
      <c r="D154" s="7" t="s">
        <v>25</v>
      </c>
      <c r="E154" s="8">
        <v>18.0</v>
      </c>
      <c r="F154" s="8">
        <v>6494.0</v>
      </c>
      <c r="G154" s="10">
        <f t="shared" si="6"/>
        <v>3247</v>
      </c>
      <c r="H154" s="10">
        <v>2019.0</v>
      </c>
      <c r="I154" s="11">
        <f t="shared" si="1"/>
        <v>649.4</v>
      </c>
      <c r="J154" s="12">
        <v>0.5</v>
      </c>
    </row>
    <row r="155">
      <c r="A155" s="6" t="s">
        <v>89</v>
      </c>
      <c r="B155" s="7" t="s">
        <v>17</v>
      </c>
      <c r="C155" s="7" t="s">
        <v>18</v>
      </c>
      <c r="D155" s="7" t="s">
        <v>16</v>
      </c>
      <c r="E155" s="8">
        <v>18.0</v>
      </c>
      <c r="F155" s="8">
        <v>6514.0</v>
      </c>
      <c r="G155" s="10">
        <f t="shared" si="6"/>
        <v>3257</v>
      </c>
      <c r="H155" s="10">
        <v>2019.0</v>
      </c>
      <c r="I155" s="11">
        <f t="shared" si="1"/>
        <v>651.4</v>
      </c>
      <c r="J155" s="12">
        <v>0.5</v>
      </c>
    </row>
    <row r="156">
      <c r="A156" s="6" t="s">
        <v>90</v>
      </c>
      <c r="B156" s="7" t="s">
        <v>20</v>
      </c>
      <c r="C156" s="7" t="s">
        <v>12</v>
      </c>
      <c r="D156" s="7" t="s">
        <v>19</v>
      </c>
      <c r="E156" s="8">
        <v>18.0</v>
      </c>
      <c r="F156" s="8">
        <v>6534.0</v>
      </c>
      <c r="G156" s="10">
        <f t="shared" si="6"/>
        <v>3267</v>
      </c>
      <c r="H156" s="10">
        <v>2019.0</v>
      </c>
      <c r="I156" s="11">
        <f t="shared" si="1"/>
        <v>653.4</v>
      </c>
      <c r="J156" s="12">
        <v>0.5</v>
      </c>
    </row>
    <row r="157">
      <c r="A157" s="6" t="s">
        <v>91</v>
      </c>
      <c r="B157" s="7" t="s">
        <v>21</v>
      </c>
      <c r="C157" s="7" t="s">
        <v>15</v>
      </c>
      <c r="D157" s="7" t="s">
        <v>13</v>
      </c>
      <c r="E157" s="8">
        <v>18.0</v>
      </c>
      <c r="F157" s="8">
        <v>6554.0</v>
      </c>
      <c r="G157" s="10">
        <f t="shared" si="6"/>
        <v>3277</v>
      </c>
      <c r="H157" s="10">
        <v>2019.0</v>
      </c>
      <c r="I157" s="11">
        <f t="shared" si="1"/>
        <v>655.4</v>
      </c>
      <c r="J157" s="12">
        <v>0.5</v>
      </c>
    </row>
    <row r="158">
      <c r="A158" s="6" t="s">
        <v>92</v>
      </c>
      <c r="B158" s="7" t="s">
        <v>11</v>
      </c>
      <c r="C158" s="7" t="s">
        <v>18</v>
      </c>
      <c r="D158" s="7" t="s">
        <v>16</v>
      </c>
      <c r="E158" s="8">
        <v>18.0</v>
      </c>
      <c r="F158" s="8">
        <v>6574.0</v>
      </c>
      <c r="G158" s="10">
        <f t="shared" si="6"/>
        <v>3287</v>
      </c>
      <c r="H158" s="10">
        <v>2019.0</v>
      </c>
      <c r="I158" s="11">
        <f t="shared" si="1"/>
        <v>657.4</v>
      </c>
      <c r="J158" s="12">
        <v>0.5</v>
      </c>
    </row>
    <row r="159">
      <c r="A159" s="6" t="s">
        <v>93</v>
      </c>
      <c r="B159" s="7" t="s">
        <v>14</v>
      </c>
      <c r="C159" s="7" t="s">
        <v>12</v>
      </c>
      <c r="D159" s="7" t="s">
        <v>19</v>
      </c>
      <c r="E159" s="8">
        <v>18.0</v>
      </c>
      <c r="F159" s="8">
        <v>6594.0</v>
      </c>
      <c r="G159" s="10">
        <f t="shared" si="6"/>
        <v>3297</v>
      </c>
      <c r="H159" s="10">
        <v>2019.0</v>
      </c>
      <c r="I159" s="11">
        <f t="shared" si="1"/>
        <v>659.4</v>
      </c>
      <c r="J159" s="12">
        <v>0.5</v>
      </c>
    </row>
    <row r="160">
      <c r="A160" s="6" t="s">
        <v>94</v>
      </c>
      <c r="B160" s="7" t="s">
        <v>17</v>
      </c>
      <c r="C160" s="7" t="s">
        <v>15</v>
      </c>
      <c r="D160" s="7" t="s">
        <v>13</v>
      </c>
      <c r="E160" s="8">
        <v>18.0</v>
      </c>
      <c r="F160" s="8">
        <v>6614.0</v>
      </c>
      <c r="G160" s="10">
        <f t="shared" si="6"/>
        <v>3307</v>
      </c>
      <c r="H160" s="10">
        <v>2019.0</v>
      </c>
      <c r="I160" s="11">
        <f t="shared" si="1"/>
        <v>661.4</v>
      </c>
      <c r="J160" s="12">
        <v>0.5</v>
      </c>
    </row>
    <row r="161">
      <c r="A161" s="6" t="s">
        <v>95</v>
      </c>
      <c r="B161" s="7" t="s">
        <v>20</v>
      </c>
      <c r="C161" s="7" t="s">
        <v>18</v>
      </c>
      <c r="D161" s="7" t="s">
        <v>25</v>
      </c>
      <c r="E161" s="8">
        <v>19.0</v>
      </c>
      <c r="F161" s="8">
        <v>6634.0</v>
      </c>
      <c r="G161" s="10">
        <f t="shared" ref="G161:G282" si="7">F161/4</f>
        <v>1658.5</v>
      </c>
      <c r="H161" s="10">
        <v>2019.0</v>
      </c>
      <c r="I161" s="11">
        <f t="shared" si="1"/>
        <v>663.4</v>
      </c>
      <c r="J161" s="12">
        <v>0.75</v>
      </c>
    </row>
    <row r="162">
      <c r="A162" s="6" t="s">
        <v>96</v>
      </c>
      <c r="B162" s="7" t="s">
        <v>21</v>
      </c>
      <c r="C162" s="7" t="s">
        <v>12</v>
      </c>
      <c r="D162" s="7" t="s">
        <v>16</v>
      </c>
      <c r="E162" s="8">
        <v>19.0</v>
      </c>
      <c r="F162" s="8">
        <v>6654.0</v>
      </c>
      <c r="G162" s="10">
        <f t="shared" si="7"/>
        <v>1663.5</v>
      </c>
      <c r="H162" s="10">
        <v>2019.0</v>
      </c>
      <c r="I162" s="11">
        <f t="shared" si="1"/>
        <v>665.4</v>
      </c>
      <c r="J162" s="12">
        <v>0.75</v>
      </c>
    </row>
    <row r="163">
      <c r="A163" s="6" t="s">
        <v>97</v>
      </c>
      <c r="B163" s="7" t="s">
        <v>11</v>
      </c>
      <c r="C163" s="7" t="s">
        <v>15</v>
      </c>
      <c r="D163" s="7" t="s">
        <v>19</v>
      </c>
      <c r="E163" s="8">
        <v>19.0</v>
      </c>
      <c r="F163" s="8">
        <v>6674.0</v>
      </c>
      <c r="G163" s="10">
        <f t="shared" si="7"/>
        <v>1668.5</v>
      </c>
      <c r="H163" s="10">
        <v>2019.0</v>
      </c>
      <c r="I163" s="11">
        <f t="shared" si="1"/>
        <v>667.4</v>
      </c>
      <c r="J163" s="12">
        <v>0.75</v>
      </c>
    </row>
    <row r="164">
      <c r="A164" s="6" t="s">
        <v>98</v>
      </c>
      <c r="B164" s="7" t="s">
        <v>14</v>
      </c>
      <c r="C164" s="7" t="s">
        <v>18</v>
      </c>
      <c r="D164" s="7" t="s">
        <v>13</v>
      </c>
      <c r="E164" s="8">
        <v>19.0</v>
      </c>
      <c r="F164" s="8">
        <v>6694.0</v>
      </c>
      <c r="G164" s="10">
        <f t="shared" si="7"/>
        <v>1673.5</v>
      </c>
      <c r="H164" s="10">
        <v>2019.0</v>
      </c>
      <c r="I164" s="11">
        <f t="shared" si="1"/>
        <v>669.4</v>
      </c>
      <c r="J164" s="12">
        <v>0.75</v>
      </c>
    </row>
    <row r="165">
      <c r="A165" s="6" t="s">
        <v>99</v>
      </c>
      <c r="B165" s="7" t="s">
        <v>17</v>
      </c>
      <c r="C165" s="7" t="s">
        <v>12</v>
      </c>
      <c r="D165" s="7" t="s">
        <v>16</v>
      </c>
      <c r="E165" s="8">
        <v>19.0</v>
      </c>
      <c r="F165" s="8">
        <v>6714.0</v>
      </c>
      <c r="G165" s="10">
        <f t="shared" si="7"/>
        <v>1678.5</v>
      </c>
      <c r="H165" s="10">
        <v>2019.0</v>
      </c>
      <c r="I165" s="11">
        <f t="shared" si="1"/>
        <v>671.4</v>
      </c>
      <c r="J165" s="12">
        <v>0.75</v>
      </c>
    </row>
    <row r="166">
      <c r="A166" s="6" t="s">
        <v>100</v>
      </c>
      <c r="B166" s="7" t="s">
        <v>20</v>
      </c>
      <c r="C166" s="7" t="s">
        <v>15</v>
      </c>
      <c r="D166" s="7" t="s">
        <v>19</v>
      </c>
      <c r="E166" s="8">
        <v>19.0</v>
      </c>
      <c r="F166" s="8">
        <v>6734.0</v>
      </c>
      <c r="G166" s="10">
        <f t="shared" si="7"/>
        <v>1683.5</v>
      </c>
      <c r="H166" s="10">
        <v>2019.0</v>
      </c>
      <c r="I166" s="11">
        <f t="shared" si="1"/>
        <v>673.4</v>
      </c>
      <c r="J166" s="12">
        <v>0.75</v>
      </c>
    </row>
    <row r="167">
      <c r="A167" s="6" t="s">
        <v>101</v>
      </c>
      <c r="B167" s="7" t="s">
        <v>21</v>
      </c>
      <c r="C167" s="7" t="s">
        <v>18</v>
      </c>
      <c r="D167" s="7" t="s">
        <v>13</v>
      </c>
      <c r="E167" s="8">
        <v>19.0</v>
      </c>
      <c r="F167" s="8">
        <v>6754.0</v>
      </c>
      <c r="G167" s="10">
        <f t="shared" si="7"/>
        <v>1688.5</v>
      </c>
      <c r="H167" s="10">
        <v>2019.0</v>
      </c>
      <c r="I167" s="11">
        <f t="shared" si="1"/>
        <v>675.4</v>
      </c>
      <c r="J167" s="12">
        <v>0.75</v>
      </c>
    </row>
    <row r="168">
      <c r="A168" s="6" t="s">
        <v>102</v>
      </c>
      <c r="B168" s="7" t="s">
        <v>11</v>
      </c>
      <c r="C168" s="7" t="s">
        <v>12</v>
      </c>
      <c r="D168" s="7" t="s">
        <v>25</v>
      </c>
      <c r="E168" s="8">
        <v>19.0</v>
      </c>
      <c r="F168" s="8">
        <v>6774.0</v>
      </c>
      <c r="G168" s="10">
        <f t="shared" si="7"/>
        <v>1693.5</v>
      </c>
      <c r="H168" s="10">
        <v>2019.0</v>
      </c>
      <c r="I168" s="11">
        <f t="shared" si="1"/>
        <v>677.4</v>
      </c>
      <c r="J168" s="12">
        <v>0.75</v>
      </c>
    </row>
    <row r="169">
      <c r="A169" s="6" t="s">
        <v>103</v>
      </c>
      <c r="B169" s="7" t="s">
        <v>14</v>
      </c>
      <c r="C169" s="7" t="s">
        <v>15</v>
      </c>
      <c r="D169" s="7" t="s">
        <v>16</v>
      </c>
      <c r="E169" s="8">
        <v>19.0</v>
      </c>
      <c r="F169" s="8">
        <v>6794.0</v>
      </c>
      <c r="G169" s="10">
        <f t="shared" si="7"/>
        <v>1698.5</v>
      </c>
      <c r="H169" s="10">
        <v>2019.0</v>
      </c>
      <c r="I169" s="11">
        <f t="shared" si="1"/>
        <v>679.4</v>
      </c>
      <c r="J169" s="12">
        <v>0.75</v>
      </c>
    </row>
    <row r="170">
      <c r="A170" s="13">
        <v>43472.0</v>
      </c>
      <c r="B170" s="7" t="s">
        <v>17</v>
      </c>
      <c r="C170" s="7" t="s">
        <v>18</v>
      </c>
      <c r="D170" s="7" t="s">
        <v>19</v>
      </c>
      <c r="E170" s="8">
        <v>19.0</v>
      </c>
      <c r="F170" s="8">
        <v>6814.0</v>
      </c>
      <c r="G170" s="10">
        <f t="shared" si="7"/>
        <v>1703.5</v>
      </c>
      <c r="H170" s="10">
        <v>2019.0</v>
      </c>
      <c r="I170" s="11">
        <f t="shared" si="1"/>
        <v>681.4</v>
      </c>
      <c r="J170" s="12">
        <v>0.75</v>
      </c>
    </row>
    <row r="171">
      <c r="A171" s="13">
        <v>43503.0</v>
      </c>
      <c r="B171" s="7" t="s">
        <v>20</v>
      </c>
      <c r="C171" s="7" t="s">
        <v>12</v>
      </c>
      <c r="D171" s="7" t="s">
        <v>13</v>
      </c>
      <c r="E171" s="8">
        <v>19.0</v>
      </c>
      <c r="F171" s="8">
        <v>6834.0</v>
      </c>
      <c r="G171" s="10">
        <f t="shared" si="7"/>
        <v>1708.5</v>
      </c>
      <c r="H171" s="10">
        <v>2019.0</v>
      </c>
      <c r="I171" s="11">
        <f t="shared" si="1"/>
        <v>683.4</v>
      </c>
      <c r="J171" s="12">
        <v>0.75</v>
      </c>
    </row>
    <row r="172">
      <c r="A172" s="13">
        <v>43531.0</v>
      </c>
      <c r="B172" s="7" t="s">
        <v>11</v>
      </c>
      <c r="C172" s="7" t="s">
        <v>12</v>
      </c>
      <c r="D172" s="7" t="s">
        <v>13</v>
      </c>
      <c r="E172" s="8">
        <v>19.0</v>
      </c>
      <c r="F172" s="8">
        <v>6854.0</v>
      </c>
      <c r="G172" s="10">
        <f t="shared" si="7"/>
        <v>1713.5</v>
      </c>
      <c r="H172" s="10">
        <v>2019.0</v>
      </c>
      <c r="I172" s="11">
        <f t="shared" si="1"/>
        <v>685.4</v>
      </c>
      <c r="J172" s="12">
        <v>0.75</v>
      </c>
    </row>
    <row r="173">
      <c r="A173" s="13">
        <v>43562.0</v>
      </c>
      <c r="B173" s="7" t="s">
        <v>14</v>
      </c>
      <c r="C173" s="7" t="s">
        <v>15</v>
      </c>
      <c r="D173" s="7" t="s">
        <v>16</v>
      </c>
      <c r="E173" s="8">
        <v>19.0</v>
      </c>
      <c r="F173" s="8">
        <v>6874.0</v>
      </c>
      <c r="G173" s="10">
        <f t="shared" si="7"/>
        <v>1718.5</v>
      </c>
      <c r="H173" s="10">
        <v>2019.0</v>
      </c>
      <c r="I173" s="11">
        <f t="shared" si="1"/>
        <v>687.4</v>
      </c>
      <c r="J173" s="12">
        <v>0.75</v>
      </c>
    </row>
    <row r="174">
      <c r="A174" s="13">
        <v>43592.0</v>
      </c>
      <c r="B174" s="7" t="s">
        <v>17</v>
      </c>
      <c r="C174" s="7" t="s">
        <v>18</v>
      </c>
      <c r="D174" s="7" t="s">
        <v>19</v>
      </c>
      <c r="E174" s="8">
        <v>20.0</v>
      </c>
      <c r="F174" s="8">
        <v>6895.0</v>
      </c>
      <c r="G174" s="10">
        <f t="shared" si="7"/>
        <v>1723.75</v>
      </c>
      <c r="H174" s="10">
        <v>2019.0</v>
      </c>
      <c r="I174" s="11">
        <f t="shared" si="1"/>
        <v>689.5</v>
      </c>
      <c r="J174" s="12">
        <v>0.75</v>
      </c>
    </row>
    <row r="175">
      <c r="A175" s="13">
        <v>43623.0</v>
      </c>
      <c r="B175" s="7" t="s">
        <v>20</v>
      </c>
      <c r="C175" s="7" t="s">
        <v>12</v>
      </c>
      <c r="D175" s="7" t="s">
        <v>13</v>
      </c>
      <c r="E175" s="8">
        <v>20.0</v>
      </c>
      <c r="F175" s="8">
        <v>6915.0</v>
      </c>
      <c r="G175" s="10">
        <f t="shared" si="7"/>
        <v>1728.75</v>
      </c>
      <c r="H175" s="10">
        <v>2019.0</v>
      </c>
      <c r="I175" s="11">
        <f t="shared" si="1"/>
        <v>691.5</v>
      </c>
      <c r="J175" s="12">
        <v>0.75</v>
      </c>
    </row>
    <row r="176">
      <c r="A176" s="13">
        <v>43653.0</v>
      </c>
      <c r="B176" s="7" t="s">
        <v>21</v>
      </c>
      <c r="C176" s="7" t="s">
        <v>15</v>
      </c>
      <c r="D176" s="7" t="s">
        <v>13</v>
      </c>
      <c r="E176" s="8">
        <v>20.0</v>
      </c>
      <c r="F176" s="8">
        <v>6935.0</v>
      </c>
      <c r="G176" s="10">
        <f t="shared" si="7"/>
        <v>1733.75</v>
      </c>
      <c r="H176" s="10">
        <v>2019.0</v>
      </c>
      <c r="I176" s="11">
        <f t="shared" si="1"/>
        <v>693.5</v>
      </c>
      <c r="J176" s="12">
        <v>0.75</v>
      </c>
    </row>
    <row r="177">
      <c r="A177" s="13">
        <v>43684.0</v>
      </c>
      <c r="B177" s="7" t="s">
        <v>11</v>
      </c>
      <c r="C177" s="7" t="s">
        <v>18</v>
      </c>
      <c r="D177" s="7" t="s">
        <v>16</v>
      </c>
      <c r="E177" s="8">
        <v>20.0</v>
      </c>
      <c r="F177" s="8">
        <v>6955.0</v>
      </c>
      <c r="G177" s="10">
        <f t="shared" si="7"/>
        <v>1738.75</v>
      </c>
      <c r="H177" s="10">
        <v>2019.0</v>
      </c>
      <c r="I177" s="11">
        <f t="shared" si="1"/>
        <v>695.5</v>
      </c>
      <c r="J177" s="12">
        <v>0.75</v>
      </c>
    </row>
    <row r="178">
      <c r="A178" s="13">
        <v>43715.0</v>
      </c>
      <c r="B178" s="7" t="s">
        <v>14</v>
      </c>
      <c r="C178" s="7" t="s">
        <v>12</v>
      </c>
      <c r="D178" s="7" t="s">
        <v>19</v>
      </c>
      <c r="E178" s="8">
        <v>20.0</v>
      </c>
      <c r="F178" s="8">
        <v>6975.0</v>
      </c>
      <c r="G178" s="10">
        <f t="shared" si="7"/>
        <v>1743.75</v>
      </c>
      <c r="H178" s="10">
        <v>2019.0</v>
      </c>
      <c r="I178" s="11">
        <f t="shared" si="1"/>
        <v>697.5</v>
      </c>
      <c r="J178" s="12">
        <v>0.75</v>
      </c>
    </row>
    <row r="179">
      <c r="A179" s="13">
        <v>43745.0</v>
      </c>
      <c r="B179" s="7" t="s">
        <v>17</v>
      </c>
      <c r="C179" s="7" t="s">
        <v>15</v>
      </c>
      <c r="D179" s="7" t="s">
        <v>16</v>
      </c>
      <c r="E179" s="8">
        <v>20.0</v>
      </c>
      <c r="F179" s="8">
        <v>6995.0</v>
      </c>
      <c r="G179" s="10">
        <f t="shared" si="7"/>
        <v>1748.75</v>
      </c>
      <c r="H179" s="10">
        <v>2019.0</v>
      </c>
      <c r="I179" s="11">
        <f t="shared" si="1"/>
        <v>699.5</v>
      </c>
      <c r="J179" s="12">
        <v>0.75</v>
      </c>
    </row>
    <row r="180">
      <c r="A180" s="13">
        <v>43776.0</v>
      </c>
      <c r="B180" s="7" t="s">
        <v>20</v>
      </c>
      <c r="C180" s="7" t="s">
        <v>18</v>
      </c>
      <c r="D180" s="7" t="s">
        <v>16</v>
      </c>
      <c r="E180" s="8">
        <v>20.0</v>
      </c>
      <c r="F180" s="8">
        <v>7015.0</v>
      </c>
      <c r="G180" s="10">
        <f t="shared" si="7"/>
        <v>1753.75</v>
      </c>
      <c r="H180" s="10">
        <v>2019.0</v>
      </c>
      <c r="I180" s="11">
        <f t="shared" si="1"/>
        <v>701.5</v>
      </c>
      <c r="J180" s="12">
        <v>0.75</v>
      </c>
    </row>
    <row r="181">
      <c r="A181" s="13">
        <v>43806.0</v>
      </c>
      <c r="B181" s="7" t="s">
        <v>21</v>
      </c>
      <c r="C181" s="7" t="s">
        <v>12</v>
      </c>
      <c r="D181" s="7" t="s">
        <v>25</v>
      </c>
      <c r="E181" s="8">
        <v>20.0</v>
      </c>
      <c r="F181" s="8">
        <v>7035.0</v>
      </c>
      <c r="G181" s="10">
        <f t="shared" si="7"/>
        <v>1758.75</v>
      </c>
      <c r="H181" s="10">
        <v>2019.0</v>
      </c>
      <c r="I181" s="11">
        <f t="shared" si="1"/>
        <v>703.5</v>
      </c>
      <c r="J181" s="12">
        <v>0.75</v>
      </c>
    </row>
    <row r="182">
      <c r="A182" s="6" t="s">
        <v>104</v>
      </c>
      <c r="B182" s="7" t="s">
        <v>11</v>
      </c>
      <c r="C182" s="7" t="s">
        <v>15</v>
      </c>
      <c r="D182" s="7" t="s">
        <v>16</v>
      </c>
      <c r="E182" s="8">
        <v>20.0</v>
      </c>
      <c r="F182" s="8">
        <v>7055.0</v>
      </c>
      <c r="G182" s="10">
        <f t="shared" si="7"/>
        <v>1763.75</v>
      </c>
      <c r="H182" s="10">
        <v>2019.0</v>
      </c>
      <c r="I182" s="11">
        <f t="shared" si="1"/>
        <v>705.5</v>
      </c>
      <c r="J182" s="12">
        <v>0.75</v>
      </c>
    </row>
    <row r="183">
      <c r="A183" s="6" t="s">
        <v>105</v>
      </c>
      <c r="B183" s="7" t="s">
        <v>14</v>
      </c>
      <c r="C183" s="7" t="s">
        <v>18</v>
      </c>
      <c r="D183" s="7" t="s">
        <v>19</v>
      </c>
      <c r="E183" s="8">
        <v>20.0</v>
      </c>
      <c r="F183" s="8">
        <v>7075.0</v>
      </c>
      <c r="G183" s="10">
        <f t="shared" si="7"/>
        <v>1768.75</v>
      </c>
      <c r="H183" s="10">
        <v>2019.0</v>
      </c>
      <c r="I183" s="11">
        <f t="shared" si="1"/>
        <v>707.5</v>
      </c>
      <c r="J183" s="12">
        <v>0.75</v>
      </c>
    </row>
    <row r="184">
      <c r="A184" s="6" t="s">
        <v>106</v>
      </c>
      <c r="B184" s="7" t="s">
        <v>17</v>
      </c>
      <c r="C184" s="7" t="s">
        <v>12</v>
      </c>
      <c r="D184" s="7" t="s">
        <v>13</v>
      </c>
      <c r="E184" s="8">
        <v>20.0</v>
      </c>
      <c r="F184" s="8">
        <v>7095.0</v>
      </c>
      <c r="G184" s="10">
        <f t="shared" si="7"/>
        <v>1773.75</v>
      </c>
      <c r="H184" s="10">
        <v>2019.0</v>
      </c>
      <c r="I184" s="11">
        <f t="shared" si="1"/>
        <v>709.5</v>
      </c>
      <c r="J184" s="12">
        <v>0.75</v>
      </c>
    </row>
    <row r="185">
      <c r="A185" s="6" t="s">
        <v>107</v>
      </c>
      <c r="B185" s="7" t="s">
        <v>20</v>
      </c>
      <c r="C185" s="7" t="s">
        <v>15</v>
      </c>
      <c r="D185" s="7" t="s">
        <v>16</v>
      </c>
      <c r="E185" s="8">
        <v>20.0</v>
      </c>
      <c r="F185" s="8">
        <v>7115.0</v>
      </c>
      <c r="G185" s="10">
        <f t="shared" si="7"/>
        <v>1778.75</v>
      </c>
      <c r="H185" s="10">
        <v>2019.0</v>
      </c>
      <c r="I185" s="11">
        <f t="shared" si="1"/>
        <v>711.5</v>
      </c>
      <c r="J185" s="12">
        <v>0.75</v>
      </c>
    </row>
    <row r="186">
      <c r="A186" s="6" t="s">
        <v>108</v>
      </c>
      <c r="B186" s="7" t="s">
        <v>21</v>
      </c>
      <c r="C186" s="7" t="s">
        <v>18</v>
      </c>
      <c r="D186" s="7" t="s">
        <v>19</v>
      </c>
      <c r="E186" s="8">
        <v>21.0</v>
      </c>
      <c r="F186" s="8">
        <v>7135.0</v>
      </c>
      <c r="G186" s="10">
        <f t="shared" si="7"/>
        <v>1783.75</v>
      </c>
      <c r="H186" s="10">
        <v>2019.0</v>
      </c>
      <c r="I186" s="11">
        <f t="shared" si="1"/>
        <v>713.5</v>
      </c>
      <c r="J186" s="12">
        <v>0.75</v>
      </c>
    </row>
    <row r="187">
      <c r="A187" s="6" t="s">
        <v>109</v>
      </c>
      <c r="B187" s="7" t="s">
        <v>11</v>
      </c>
      <c r="C187" s="7" t="s">
        <v>12</v>
      </c>
      <c r="D187" s="7" t="s">
        <v>13</v>
      </c>
      <c r="E187" s="8">
        <v>21.0</v>
      </c>
      <c r="F187" s="8">
        <v>7155.0</v>
      </c>
      <c r="G187" s="10">
        <f t="shared" si="7"/>
        <v>1788.75</v>
      </c>
      <c r="H187" s="10">
        <v>2019.0</v>
      </c>
      <c r="I187" s="11">
        <f t="shared" si="1"/>
        <v>715.5</v>
      </c>
      <c r="J187" s="12">
        <v>0.75</v>
      </c>
    </row>
    <row r="188">
      <c r="A188" s="6" t="s">
        <v>110</v>
      </c>
      <c r="B188" s="7" t="s">
        <v>14</v>
      </c>
      <c r="C188" s="7" t="s">
        <v>15</v>
      </c>
      <c r="D188" s="7" t="s">
        <v>25</v>
      </c>
      <c r="E188" s="8">
        <v>21.0</v>
      </c>
      <c r="F188" s="8">
        <v>7175.0</v>
      </c>
      <c r="G188" s="10">
        <f t="shared" si="7"/>
        <v>1793.75</v>
      </c>
      <c r="H188" s="10">
        <v>2019.0</v>
      </c>
      <c r="I188" s="11">
        <f t="shared" si="1"/>
        <v>717.5</v>
      </c>
      <c r="J188" s="12">
        <v>0.75</v>
      </c>
    </row>
    <row r="189">
      <c r="A189" s="6" t="s">
        <v>111</v>
      </c>
      <c r="B189" s="7" t="s">
        <v>17</v>
      </c>
      <c r="C189" s="7" t="s">
        <v>18</v>
      </c>
      <c r="D189" s="7" t="s">
        <v>16</v>
      </c>
      <c r="E189" s="8">
        <v>21.0</v>
      </c>
      <c r="F189" s="8">
        <v>7195.0</v>
      </c>
      <c r="G189" s="10">
        <f t="shared" si="7"/>
        <v>1798.75</v>
      </c>
      <c r="H189" s="10">
        <v>2021.0</v>
      </c>
      <c r="I189" s="11">
        <f t="shared" si="1"/>
        <v>719.5</v>
      </c>
      <c r="J189" s="12">
        <v>0.75</v>
      </c>
    </row>
    <row r="190">
      <c r="A190" s="6" t="s">
        <v>111</v>
      </c>
      <c r="B190" s="7" t="s">
        <v>20</v>
      </c>
      <c r="C190" s="7" t="s">
        <v>12</v>
      </c>
      <c r="D190" s="7" t="s">
        <v>19</v>
      </c>
      <c r="E190" s="8">
        <v>21.0</v>
      </c>
      <c r="F190" s="8">
        <v>7215.0</v>
      </c>
      <c r="G190" s="10">
        <f t="shared" si="7"/>
        <v>1803.75</v>
      </c>
      <c r="H190" s="10">
        <v>2021.0</v>
      </c>
      <c r="I190" s="11">
        <f t="shared" si="1"/>
        <v>721.5</v>
      </c>
      <c r="J190" s="12">
        <v>0.75</v>
      </c>
    </row>
    <row r="191">
      <c r="A191" s="6" t="s">
        <v>111</v>
      </c>
      <c r="B191" s="7" t="s">
        <v>21</v>
      </c>
      <c r="C191" s="7" t="s">
        <v>15</v>
      </c>
      <c r="D191" s="7" t="s">
        <v>13</v>
      </c>
      <c r="E191" s="8">
        <v>21.0</v>
      </c>
      <c r="F191" s="8">
        <v>7235.0</v>
      </c>
      <c r="G191" s="10">
        <f t="shared" si="7"/>
        <v>1808.75</v>
      </c>
      <c r="H191" s="10">
        <v>2021.0</v>
      </c>
      <c r="I191" s="11">
        <f t="shared" si="1"/>
        <v>723.5</v>
      </c>
      <c r="J191" s="12">
        <v>0.75</v>
      </c>
    </row>
    <row r="192">
      <c r="A192" s="6" t="s">
        <v>111</v>
      </c>
      <c r="B192" s="7" t="s">
        <v>11</v>
      </c>
      <c r="C192" s="7" t="s">
        <v>18</v>
      </c>
      <c r="D192" s="7" t="s">
        <v>16</v>
      </c>
      <c r="E192" s="8">
        <v>21.0</v>
      </c>
      <c r="F192" s="8">
        <v>7255.0</v>
      </c>
      <c r="G192" s="10">
        <f t="shared" si="7"/>
        <v>1813.75</v>
      </c>
      <c r="H192" s="10">
        <v>2021.0</v>
      </c>
      <c r="I192" s="11">
        <f t="shared" si="1"/>
        <v>725.5</v>
      </c>
      <c r="J192" s="12">
        <v>0.75</v>
      </c>
    </row>
    <row r="193">
      <c r="A193" s="6" t="s">
        <v>111</v>
      </c>
      <c r="B193" s="7" t="s">
        <v>14</v>
      </c>
      <c r="C193" s="7" t="s">
        <v>12</v>
      </c>
      <c r="D193" s="7" t="s">
        <v>19</v>
      </c>
      <c r="E193" s="8">
        <v>21.0</v>
      </c>
      <c r="F193" s="8">
        <v>7275.0</v>
      </c>
      <c r="G193" s="10">
        <f t="shared" si="7"/>
        <v>1818.75</v>
      </c>
      <c r="H193" s="10">
        <v>2021.0</v>
      </c>
      <c r="I193" s="11">
        <f t="shared" si="1"/>
        <v>727.5</v>
      </c>
      <c r="J193" s="12">
        <v>0.75</v>
      </c>
    </row>
    <row r="194">
      <c r="A194" s="6" t="s">
        <v>111</v>
      </c>
      <c r="B194" s="7" t="s">
        <v>17</v>
      </c>
      <c r="C194" s="7" t="s">
        <v>15</v>
      </c>
      <c r="D194" s="7" t="s">
        <v>13</v>
      </c>
      <c r="E194" s="8">
        <v>21.0</v>
      </c>
      <c r="F194" s="8">
        <v>7295.0</v>
      </c>
      <c r="G194" s="10">
        <f t="shared" si="7"/>
        <v>1823.75</v>
      </c>
      <c r="H194" s="10">
        <v>2021.0</v>
      </c>
      <c r="I194" s="11">
        <f t="shared" si="1"/>
        <v>729.5</v>
      </c>
      <c r="J194" s="12">
        <v>0.75</v>
      </c>
    </row>
    <row r="195">
      <c r="A195" s="6" t="s">
        <v>111</v>
      </c>
      <c r="B195" s="7" t="s">
        <v>20</v>
      </c>
      <c r="C195" s="7" t="s">
        <v>18</v>
      </c>
      <c r="D195" s="7" t="s">
        <v>25</v>
      </c>
      <c r="E195" s="8">
        <v>21.0</v>
      </c>
      <c r="F195" s="8">
        <v>7315.0</v>
      </c>
      <c r="G195" s="10">
        <f t="shared" si="7"/>
        <v>1828.75</v>
      </c>
      <c r="H195" s="10">
        <v>2021.0</v>
      </c>
      <c r="I195" s="11">
        <f t="shared" si="1"/>
        <v>731.5</v>
      </c>
      <c r="J195" s="12">
        <v>0.75</v>
      </c>
    </row>
    <row r="196">
      <c r="A196" s="6" t="s">
        <v>111</v>
      </c>
      <c r="B196" s="7" t="s">
        <v>21</v>
      </c>
      <c r="C196" s="7" t="s">
        <v>12</v>
      </c>
      <c r="D196" s="7" t="s">
        <v>16</v>
      </c>
      <c r="E196" s="8">
        <v>21.0</v>
      </c>
      <c r="F196" s="8">
        <v>7335.0</v>
      </c>
      <c r="G196" s="10">
        <f t="shared" si="7"/>
        <v>1833.75</v>
      </c>
      <c r="H196" s="10">
        <v>2021.0</v>
      </c>
      <c r="I196" s="11">
        <f t="shared" si="1"/>
        <v>733.5</v>
      </c>
      <c r="J196" s="12">
        <v>0.75</v>
      </c>
    </row>
    <row r="197">
      <c r="A197" s="6" t="s">
        <v>111</v>
      </c>
      <c r="B197" s="7" t="s">
        <v>11</v>
      </c>
      <c r="C197" s="7" t="s">
        <v>15</v>
      </c>
      <c r="D197" s="7" t="s">
        <v>19</v>
      </c>
      <c r="E197" s="8">
        <v>21.0</v>
      </c>
      <c r="F197" s="8">
        <v>7355.0</v>
      </c>
      <c r="G197" s="10">
        <f t="shared" si="7"/>
        <v>1838.75</v>
      </c>
      <c r="H197" s="10">
        <v>2021.0</v>
      </c>
      <c r="I197" s="11">
        <f t="shared" si="1"/>
        <v>735.5</v>
      </c>
      <c r="J197" s="12">
        <v>0.75</v>
      </c>
    </row>
    <row r="198">
      <c r="A198" s="6" t="s">
        <v>111</v>
      </c>
      <c r="B198" s="7" t="s">
        <v>14</v>
      </c>
      <c r="C198" s="7" t="s">
        <v>18</v>
      </c>
      <c r="D198" s="7" t="s">
        <v>13</v>
      </c>
      <c r="E198" s="8">
        <v>22.0</v>
      </c>
      <c r="F198" s="8">
        <v>7375.0</v>
      </c>
      <c r="G198" s="10">
        <f t="shared" si="7"/>
        <v>1843.75</v>
      </c>
      <c r="H198" s="10">
        <v>2021.0</v>
      </c>
      <c r="I198" s="11">
        <f t="shared" si="1"/>
        <v>737.5</v>
      </c>
      <c r="J198" s="12">
        <v>0.75</v>
      </c>
    </row>
    <row r="199">
      <c r="A199" s="6" t="s">
        <v>111</v>
      </c>
      <c r="B199" s="7" t="s">
        <v>17</v>
      </c>
      <c r="C199" s="7" t="s">
        <v>12</v>
      </c>
      <c r="D199" s="7" t="s">
        <v>16</v>
      </c>
      <c r="E199" s="8">
        <v>22.0</v>
      </c>
      <c r="F199" s="8">
        <v>7395.0</v>
      </c>
      <c r="G199" s="10">
        <f t="shared" si="7"/>
        <v>1848.75</v>
      </c>
      <c r="H199" s="10">
        <v>2021.0</v>
      </c>
      <c r="I199" s="11">
        <f t="shared" si="1"/>
        <v>739.5</v>
      </c>
      <c r="J199" s="12">
        <v>0.75</v>
      </c>
    </row>
    <row r="200">
      <c r="A200" s="6" t="s">
        <v>111</v>
      </c>
      <c r="B200" s="7" t="s">
        <v>20</v>
      </c>
      <c r="C200" s="7" t="s">
        <v>15</v>
      </c>
      <c r="D200" s="7" t="s">
        <v>19</v>
      </c>
      <c r="E200" s="8">
        <v>22.0</v>
      </c>
      <c r="F200" s="8">
        <v>7415.0</v>
      </c>
      <c r="G200" s="10">
        <f t="shared" si="7"/>
        <v>1853.75</v>
      </c>
      <c r="H200" s="10">
        <v>2021.0</v>
      </c>
      <c r="I200" s="11">
        <f t="shared" si="1"/>
        <v>741.5</v>
      </c>
      <c r="J200" s="12">
        <v>0.75</v>
      </c>
    </row>
    <row r="201">
      <c r="A201" s="6" t="s">
        <v>111</v>
      </c>
      <c r="B201" s="7" t="s">
        <v>21</v>
      </c>
      <c r="C201" s="7" t="s">
        <v>18</v>
      </c>
      <c r="D201" s="7" t="s">
        <v>13</v>
      </c>
      <c r="E201" s="8">
        <v>22.0</v>
      </c>
      <c r="F201" s="8">
        <v>7435.0</v>
      </c>
      <c r="G201" s="10">
        <f t="shared" si="7"/>
        <v>1858.75</v>
      </c>
      <c r="H201" s="10">
        <v>2021.0</v>
      </c>
      <c r="I201" s="11">
        <f t="shared" si="1"/>
        <v>743.5</v>
      </c>
      <c r="J201" s="12">
        <v>0.75</v>
      </c>
    </row>
    <row r="202">
      <c r="A202" s="6" t="s">
        <v>111</v>
      </c>
      <c r="B202" s="7" t="s">
        <v>11</v>
      </c>
      <c r="C202" s="7" t="s">
        <v>12</v>
      </c>
      <c r="D202" s="7" t="s">
        <v>25</v>
      </c>
      <c r="E202" s="8">
        <v>22.0</v>
      </c>
      <c r="F202" s="8">
        <v>7455.0</v>
      </c>
      <c r="G202" s="10">
        <f t="shared" si="7"/>
        <v>1863.75</v>
      </c>
      <c r="H202" s="10">
        <v>2021.0</v>
      </c>
      <c r="I202" s="11">
        <f t="shared" si="1"/>
        <v>745.5</v>
      </c>
      <c r="J202" s="12">
        <v>0.75</v>
      </c>
    </row>
    <row r="203">
      <c r="A203" s="6" t="s">
        <v>111</v>
      </c>
      <c r="B203" s="7" t="s">
        <v>14</v>
      </c>
      <c r="C203" s="7" t="s">
        <v>15</v>
      </c>
      <c r="D203" s="7" t="s">
        <v>16</v>
      </c>
      <c r="E203" s="8">
        <v>22.0</v>
      </c>
      <c r="F203" s="8">
        <v>7475.0</v>
      </c>
      <c r="G203" s="10">
        <f t="shared" si="7"/>
        <v>1868.75</v>
      </c>
      <c r="H203" s="10">
        <v>2021.0</v>
      </c>
      <c r="I203" s="11">
        <f t="shared" si="1"/>
        <v>747.5</v>
      </c>
      <c r="J203" s="12">
        <v>0.75</v>
      </c>
    </row>
    <row r="204">
      <c r="A204" s="13">
        <v>43563.0</v>
      </c>
      <c r="B204" s="7" t="s">
        <v>17</v>
      </c>
      <c r="C204" s="7" t="s">
        <v>18</v>
      </c>
      <c r="D204" s="7" t="s">
        <v>19</v>
      </c>
      <c r="E204" s="8">
        <v>22.0</v>
      </c>
      <c r="F204" s="8">
        <v>7495.0</v>
      </c>
      <c r="G204" s="10">
        <f t="shared" si="7"/>
        <v>1873.75</v>
      </c>
      <c r="H204" s="10">
        <v>2019.0</v>
      </c>
      <c r="I204" s="11">
        <f t="shared" si="1"/>
        <v>749.5</v>
      </c>
      <c r="J204" s="12">
        <v>0.75</v>
      </c>
    </row>
    <row r="205">
      <c r="A205" s="13">
        <v>43593.0</v>
      </c>
      <c r="B205" s="7" t="s">
        <v>20</v>
      </c>
      <c r="C205" s="7" t="s">
        <v>12</v>
      </c>
      <c r="D205" s="7" t="s">
        <v>13</v>
      </c>
      <c r="E205" s="8">
        <v>22.0</v>
      </c>
      <c r="F205" s="8">
        <v>7515.0</v>
      </c>
      <c r="G205" s="10">
        <f t="shared" si="7"/>
        <v>1878.75</v>
      </c>
      <c r="H205" s="10">
        <v>2019.0</v>
      </c>
      <c r="I205" s="11">
        <f t="shared" si="1"/>
        <v>751.5</v>
      </c>
      <c r="J205" s="12">
        <v>0.75</v>
      </c>
    </row>
    <row r="206">
      <c r="A206" s="13">
        <v>43624.0</v>
      </c>
      <c r="B206" s="7" t="s">
        <v>11</v>
      </c>
      <c r="C206" s="7" t="s">
        <v>12</v>
      </c>
      <c r="D206" s="7" t="s">
        <v>13</v>
      </c>
      <c r="E206" s="8">
        <v>22.0</v>
      </c>
      <c r="F206" s="8">
        <v>7536.0</v>
      </c>
      <c r="G206" s="10">
        <f t="shared" si="7"/>
        <v>1884</v>
      </c>
      <c r="H206" s="10">
        <v>2019.0</v>
      </c>
      <c r="I206" s="11">
        <f t="shared" si="1"/>
        <v>753.6</v>
      </c>
      <c r="J206" s="12">
        <v>0.75</v>
      </c>
    </row>
    <row r="207">
      <c r="A207" s="13">
        <v>43654.0</v>
      </c>
      <c r="B207" s="7" t="s">
        <v>14</v>
      </c>
      <c r="C207" s="7" t="s">
        <v>15</v>
      </c>
      <c r="D207" s="7" t="s">
        <v>16</v>
      </c>
      <c r="E207" s="8">
        <v>22.0</v>
      </c>
      <c r="F207" s="8">
        <v>7556.0</v>
      </c>
      <c r="G207" s="10">
        <f t="shared" si="7"/>
        <v>1889</v>
      </c>
      <c r="H207" s="10">
        <v>2019.0</v>
      </c>
      <c r="I207" s="11">
        <f t="shared" si="1"/>
        <v>755.6</v>
      </c>
      <c r="J207" s="12">
        <v>0.75</v>
      </c>
    </row>
    <row r="208">
      <c r="A208" s="13">
        <v>43685.0</v>
      </c>
      <c r="B208" s="7" t="s">
        <v>17</v>
      </c>
      <c r="C208" s="7" t="s">
        <v>18</v>
      </c>
      <c r="D208" s="7" t="s">
        <v>19</v>
      </c>
      <c r="E208" s="8">
        <v>22.0</v>
      </c>
      <c r="F208" s="8">
        <v>7576.0</v>
      </c>
      <c r="G208" s="10">
        <f t="shared" si="7"/>
        <v>1894</v>
      </c>
      <c r="H208" s="10">
        <v>2019.0</v>
      </c>
      <c r="I208" s="11">
        <f t="shared" si="1"/>
        <v>757.6</v>
      </c>
      <c r="J208" s="12">
        <v>0.75</v>
      </c>
    </row>
    <row r="209">
      <c r="A209" s="13">
        <v>43716.0</v>
      </c>
      <c r="B209" s="7" t="s">
        <v>20</v>
      </c>
      <c r="C209" s="7" t="s">
        <v>12</v>
      </c>
      <c r="D209" s="7" t="s">
        <v>13</v>
      </c>
      <c r="E209" s="8">
        <v>22.0</v>
      </c>
      <c r="F209" s="8">
        <v>7596.0</v>
      </c>
      <c r="G209" s="10">
        <f t="shared" si="7"/>
        <v>1899</v>
      </c>
      <c r="H209" s="10">
        <v>2019.0</v>
      </c>
      <c r="I209" s="11">
        <f t="shared" si="1"/>
        <v>759.6</v>
      </c>
      <c r="J209" s="12">
        <v>0.75</v>
      </c>
    </row>
    <row r="210">
      <c r="A210" s="13">
        <v>43746.0</v>
      </c>
      <c r="B210" s="7" t="s">
        <v>21</v>
      </c>
      <c r="C210" s="7" t="s">
        <v>15</v>
      </c>
      <c r="D210" s="7" t="s">
        <v>13</v>
      </c>
      <c r="E210" s="8">
        <v>23.0</v>
      </c>
      <c r="F210" s="8">
        <v>7616.0</v>
      </c>
      <c r="G210" s="10">
        <f t="shared" si="7"/>
        <v>1904</v>
      </c>
      <c r="H210" s="10">
        <v>2019.0</v>
      </c>
      <c r="I210" s="11">
        <f t="shared" si="1"/>
        <v>761.6</v>
      </c>
      <c r="J210" s="12">
        <v>0.75</v>
      </c>
    </row>
    <row r="211">
      <c r="A211" s="13">
        <v>43777.0</v>
      </c>
      <c r="B211" s="7" t="s">
        <v>11</v>
      </c>
      <c r="C211" s="7" t="s">
        <v>18</v>
      </c>
      <c r="D211" s="7" t="s">
        <v>16</v>
      </c>
      <c r="E211" s="8">
        <v>23.0</v>
      </c>
      <c r="F211" s="8">
        <v>7636.0</v>
      </c>
      <c r="G211" s="10">
        <f t="shared" si="7"/>
        <v>1909</v>
      </c>
      <c r="H211" s="10">
        <v>2019.0</v>
      </c>
      <c r="I211" s="11">
        <f t="shared" si="1"/>
        <v>763.6</v>
      </c>
      <c r="J211" s="12">
        <v>0.75</v>
      </c>
    </row>
    <row r="212">
      <c r="A212" s="13">
        <v>43807.0</v>
      </c>
      <c r="B212" s="7" t="s">
        <v>14</v>
      </c>
      <c r="C212" s="7" t="s">
        <v>12</v>
      </c>
      <c r="D212" s="7" t="s">
        <v>19</v>
      </c>
      <c r="E212" s="8">
        <v>23.0</v>
      </c>
      <c r="F212" s="8">
        <v>7656.0</v>
      </c>
      <c r="G212" s="10">
        <f t="shared" si="7"/>
        <v>1914</v>
      </c>
      <c r="H212" s="10">
        <v>2019.0</v>
      </c>
      <c r="I212" s="11">
        <f t="shared" si="1"/>
        <v>765.6</v>
      </c>
      <c r="J212" s="12">
        <v>0.75</v>
      </c>
    </row>
    <row r="213">
      <c r="A213" s="6" t="s">
        <v>112</v>
      </c>
      <c r="B213" s="7" t="s">
        <v>17</v>
      </c>
      <c r="C213" s="7" t="s">
        <v>15</v>
      </c>
      <c r="D213" s="7" t="s">
        <v>16</v>
      </c>
      <c r="E213" s="8">
        <v>23.0</v>
      </c>
      <c r="F213" s="8">
        <v>7676.0</v>
      </c>
      <c r="G213" s="10">
        <f t="shared" si="7"/>
        <v>1919</v>
      </c>
      <c r="H213" s="10">
        <v>2019.0</v>
      </c>
      <c r="I213" s="11">
        <f t="shared" si="1"/>
        <v>767.6</v>
      </c>
      <c r="J213" s="12">
        <v>0.75</v>
      </c>
    </row>
    <row r="214">
      <c r="A214" s="6" t="s">
        <v>113</v>
      </c>
      <c r="B214" s="7" t="s">
        <v>20</v>
      </c>
      <c r="C214" s="7" t="s">
        <v>18</v>
      </c>
      <c r="D214" s="7" t="s">
        <v>16</v>
      </c>
      <c r="E214" s="8">
        <v>23.0</v>
      </c>
      <c r="F214" s="8">
        <v>7696.0</v>
      </c>
      <c r="G214" s="10">
        <f t="shared" si="7"/>
        <v>1924</v>
      </c>
      <c r="H214" s="10">
        <v>2019.0</v>
      </c>
      <c r="I214" s="11">
        <f t="shared" si="1"/>
        <v>769.6</v>
      </c>
      <c r="J214" s="12">
        <v>0.75</v>
      </c>
    </row>
    <row r="215">
      <c r="A215" s="6" t="s">
        <v>114</v>
      </c>
      <c r="B215" s="7" t="s">
        <v>21</v>
      </c>
      <c r="C215" s="7" t="s">
        <v>12</v>
      </c>
      <c r="D215" s="7" t="s">
        <v>25</v>
      </c>
      <c r="E215" s="8">
        <v>23.0</v>
      </c>
      <c r="F215" s="8">
        <v>7716.0</v>
      </c>
      <c r="G215" s="10">
        <f t="shared" si="7"/>
        <v>1929</v>
      </c>
      <c r="H215" s="10">
        <v>2019.0</v>
      </c>
      <c r="I215" s="11">
        <f t="shared" si="1"/>
        <v>771.6</v>
      </c>
      <c r="J215" s="12">
        <v>0.75</v>
      </c>
    </row>
    <row r="216">
      <c r="A216" s="6" t="s">
        <v>115</v>
      </c>
      <c r="B216" s="7" t="s">
        <v>11</v>
      </c>
      <c r="C216" s="7" t="s">
        <v>15</v>
      </c>
      <c r="D216" s="7" t="s">
        <v>16</v>
      </c>
      <c r="E216" s="8">
        <v>23.0</v>
      </c>
      <c r="F216" s="8">
        <v>7736.0</v>
      </c>
      <c r="G216" s="10">
        <f t="shared" si="7"/>
        <v>1934</v>
      </c>
      <c r="H216" s="10">
        <v>2019.0</v>
      </c>
      <c r="I216" s="11">
        <f t="shared" si="1"/>
        <v>773.6</v>
      </c>
      <c r="J216" s="12">
        <v>0.75</v>
      </c>
    </row>
    <row r="217">
      <c r="A217" s="6" t="s">
        <v>116</v>
      </c>
      <c r="B217" s="7" t="s">
        <v>14</v>
      </c>
      <c r="C217" s="7" t="s">
        <v>18</v>
      </c>
      <c r="D217" s="7" t="s">
        <v>19</v>
      </c>
      <c r="E217" s="8">
        <v>23.0</v>
      </c>
      <c r="F217" s="8">
        <v>7756.0</v>
      </c>
      <c r="G217" s="10">
        <f t="shared" si="7"/>
        <v>1939</v>
      </c>
      <c r="H217" s="10">
        <v>2019.0</v>
      </c>
      <c r="I217" s="11">
        <f t="shared" si="1"/>
        <v>775.6</v>
      </c>
      <c r="J217" s="12">
        <v>0.75</v>
      </c>
    </row>
    <row r="218">
      <c r="A218" s="6" t="s">
        <v>117</v>
      </c>
      <c r="B218" s="7" t="s">
        <v>17</v>
      </c>
      <c r="C218" s="7" t="s">
        <v>12</v>
      </c>
      <c r="D218" s="7" t="s">
        <v>13</v>
      </c>
      <c r="E218" s="8">
        <v>23.0</v>
      </c>
      <c r="F218" s="8">
        <v>7776.0</v>
      </c>
      <c r="G218" s="10">
        <f t="shared" si="7"/>
        <v>1944</v>
      </c>
      <c r="H218" s="10">
        <v>2019.0</v>
      </c>
      <c r="I218" s="11">
        <f t="shared" si="1"/>
        <v>777.6</v>
      </c>
      <c r="J218" s="12">
        <v>0.75</v>
      </c>
    </row>
    <row r="219">
      <c r="A219" s="6" t="s">
        <v>118</v>
      </c>
      <c r="B219" s="7" t="s">
        <v>20</v>
      </c>
      <c r="C219" s="7" t="s">
        <v>15</v>
      </c>
      <c r="D219" s="7" t="s">
        <v>16</v>
      </c>
      <c r="E219" s="8">
        <v>23.0</v>
      </c>
      <c r="F219" s="8">
        <v>7796.0</v>
      </c>
      <c r="G219" s="10">
        <f t="shared" si="7"/>
        <v>1949</v>
      </c>
      <c r="H219" s="10">
        <v>2019.0</v>
      </c>
      <c r="I219" s="11">
        <f t="shared" si="1"/>
        <v>779.6</v>
      </c>
      <c r="J219" s="12">
        <v>0.75</v>
      </c>
    </row>
    <row r="220">
      <c r="A220" s="6" t="s">
        <v>119</v>
      </c>
      <c r="B220" s="7" t="s">
        <v>21</v>
      </c>
      <c r="C220" s="7" t="s">
        <v>18</v>
      </c>
      <c r="D220" s="7" t="s">
        <v>19</v>
      </c>
      <c r="E220" s="8">
        <v>23.0</v>
      </c>
      <c r="F220" s="8">
        <v>7816.0</v>
      </c>
      <c r="G220" s="10">
        <f t="shared" si="7"/>
        <v>1954</v>
      </c>
      <c r="H220" s="10">
        <v>2019.0</v>
      </c>
      <c r="I220" s="11">
        <f t="shared" si="1"/>
        <v>781.6</v>
      </c>
      <c r="J220" s="12">
        <v>0.75</v>
      </c>
    </row>
    <row r="221">
      <c r="A221" s="6" t="s">
        <v>120</v>
      </c>
      <c r="B221" s="7" t="s">
        <v>11</v>
      </c>
      <c r="C221" s="7" t="s">
        <v>12</v>
      </c>
      <c r="D221" s="7" t="s">
        <v>13</v>
      </c>
      <c r="E221" s="8">
        <v>23.0</v>
      </c>
      <c r="F221" s="8">
        <v>7836.0</v>
      </c>
      <c r="G221" s="10">
        <f t="shared" si="7"/>
        <v>1959</v>
      </c>
      <c r="H221" s="10">
        <v>2019.0</v>
      </c>
      <c r="I221" s="11">
        <f t="shared" si="1"/>
        <v>783.6</v>
      </c>
      <c r="J221" s="12">
        <v>0.75</v>
      </c>
    </row>
    <row r="222">
      <c r="A222" s="6" t="s">
        <v>121</v>
      </c>
      <c r="B222" s="7" t="s">
        <v>14</v>
      </c>
      <c r="C222" s="7" t="s">
        <v>15</v>
      </c>
      <c r="D222" s="7" t="s">
        <v>25</v>
      </c>
      <c r="E222" s="8">
        <v>23.0</v>
      </c>
      <c r="F222" s="8">
        <v>7856.0</v>
      </c>
      <c r="G222" s="10">
        <f t="shared" si="7"/>
        <v>1964</v>
      </c>
      <c r="H222" s="10">
        <v>2019.0</v>
      </c>
      <c r="I222" s="11">
        <f t="shared" si="1"/>
        <v>785.6</v>
      </c>
      <c r="J222" s="12">
        <v>0.75</v>
      </c>
    </row>
    <row r="223">
      <c r="A223" s="6" t="s">
        <v>122</v>
      </c>
      <c r="B223" s="7" t="s">
        <v>17</v>
      </c>
      <c r="C223" s="7" t="s">
        <v>18</v>
      </c>
      <c r="D223" s="7" t="s">
        <v>16</v>
      </c>
      <c r="E223" s="8">
        <v>24.0</v>
      </c>
      <c r="F223" s="8">
        <v>7876.0</v>
      </c>
      <c r="G223" s="10">
        <f t="shared" si="7"/>
        <v>1969</v>
      </c>
      <c r="H223" s="10">
        <v>2019.0</v>
      </c>
      <c r="I223" s="11">
        <f t="shared" si="1"/>
        <v>787.6</v>
      </c>
      <c r="J223" s="12">
        <v>0.75</v>
      </c>
    </row>
    <row r="224">
      <c r="A224" s="6" t="s">
        <v>123</v>
      </c>
      <c r="B224" s="7" t="s">
        <v>20</v>
      </c>
      <c r="C224" s="7" t="s">
        <v>12</v>
      </c>
      <c r="D224" s="7" t="s">
        <v>19</v>
      </c>
      <c r="E224" s="8">
        <v>24.0</v>
      </c>
      <c r="F224" s="8">
        <v>7896.0</v>
      </c>
      <c r="G224" s="10">
        <f t="shared" si="7"/>
        <v>1974</v>
      </c>
      <c r="H224" s="10">
        <v>2019.0</v>
      </c>
      <c r="I224" s="11">
        <f t="shared" si="1"/>
        <v>789.6</v>
      </c>
      <c r="J224" s="12">
        <v>0.75</v>
      </c>
    </row>
    <row r="225">
      <c r="A225" s="6" t="s">
        <v>124</v>
      </c>
      <c r="B225" s="7" t="s">
        <v>21</v>
      </c>
      <c r="C225" s="7" t="s">
        <v>15</v>
      </c>
      <c r="D225" s="7" t="s">
        <v>13</v>
      </c>
      <c r="E225" s="8">
        <v>24.0</v>
      </c>
      <c r="F225" s="8">
        <v>7916.0</v>
      </c>
      <c r="G225" s="10">
        <f t="shared" si="7"/>
        <v>1979</v>
      </c>
      <c r="H225" s="10">
        <v>2019.0</v>
      </c>
      <c r="I225" s="11">
        <f t="shared" si="1"/>
        <v>791.6</v>
      </c>
      <c r="J225" s="12">
        <v>0.75</v>
      </c>
    </row>
    <row r="226">
      <c r="A226" s="6" t="s">
        <v>125</v>
      </c>
      <c r="B226" s="7" t="s">
        <v>11</v>
      </c>
      <c r="C226" s="7" t="s">
        <v>18</v>
      </c>
      <c r="D226" s="7" t="s">
        <v>16</v>
      </c>
      <c r="E226" s="8">
        <v>24.0</v>
      </c>
      <c r="F226" s="8">
        <v>7936.0</v>
      </c>
      <c r="G226" s="10">
        <f t="shared" si="7"/>
        <v>1984</v>
      </c>
      <c r="H226" s="10">
        <v>2019.0</v>
      </c>
      <c r="I226" s="11">
        <f t="shared" si="1"/>
        <v>793.6</v>
      </c>
      <c r="J226" s="12">
        <v>0.75</v>
      </c>
    </row>
    <row r="227">
      <c r="A227" s="6" t="s">
        <v>126</v>
      </c>
      <c r="B227" s="7" t="s">
        <v>14</v>
      </c>
      <c r="C227" s="7" t="s">
        <v>12</v>
      </c>
      <c r="D227" s="7" t="s">
        <v>19</v>
      </c>
      <c r="E227" s="8">
        <v>24.0</v>
      </c>
      <c r="F227" s="8">
        <v>7956.0</v>
      </c>
      <c r="G227" s="10">
        <f t="shared" si="7"/>
        <v>1989</v>
      </c>
      <c r="H227" s="10">
        <v>2019.0</v>
      </c>
      <c r="I227" s="11">
        <f t="shared" si="1"/>
        <v>795.6</v>
      </c>
      <c r="J227" s="12">
        <v>0.75</v>
      </c>
    </row>
    <row r="228">
      <c r="A228" s="6" t="s">
        <v>127</v>
      </c>
      <c r="B228" s="7" t="s">
        <v>17</v>
      </c>
      <c r="C228" s="7" t="s">
        <v>15</v>
      </c>
      <c r="D228" s="7" t="s">
        <v>13</v>
      </c>
      <c r="E228" s="8">
        <v>24.0</v>
      </c>
      <c r="F228" s="8">
        <v>7976.0</v>
      </c>
      <c r="G228" s="10">
        <f t="shared" si="7"/>
        <v>1994</v>
      </c>
      <c r="H228" s="10">
        <v>2019.0</v>
      </c>
      <c r="I228" s="11">
        <f t="shared" si="1"/>
        <v>797.6</v>
      </c>
      <c r="J228" s="12">
        <v>0.75</v>
      </c>
    </row>
    <row r="229">
      <c r="A229" s="6" t="s">
        <v>128</v>
      </c>
      <c r="B229" s="7" t="s">
        <v>20</v>
      </c>
      <c r="C229" s="7" t="s">
        <v>18</v>
      </c>
      <c r="D229" s="7" t="s">
        <v>25</v>
      </c>
      <c r="E229" s="8">
        <v>24.0</v>
      </c>
      <c r="F229" s="8">
        <v>7996.0</v>
      </c>
      <c r="G229" s="10">
        <f t="shared" si="7"/>
        <v>1999</v>
      </c>
      <c r="H229" s="10">
        <v>2019.0</v>
      </c>
      <c r="I229" s="11">
        <f t="shared" si="1"/>
        <v>799.6</v>
      </c>
      <c r="J229" s="12">
        <v>0.75</v>
      </c>
    </row>
    <row r="230">
      <c r="A230" s="6" t="s">
        <v>129</v>
      </c>
      <c r="B230" s="7" t="s">
        <v>21</v>
      </c>
      <c r="C230" s="7" t="s">
        <v>12</v>
      </c>
      <c r="D230" s="7" t="s">
        <v>16</v>
      </c>
      <c r="E230" s="8">
        <v>24.0</v>
      </c>
      <c r="F230" s="8">
        <v>8016.0</v>
      </c>
      <c r="G230" s="10">
        <f t="shared" si="7"/>
        <v>2004</v>
      </c>
      <c r="H230" s="10">
        <v>2019.0</v>
      </c>
      <c r="I230" s="11">
        <f t="shared" si="1"/>
        <v>801.6</v>
      </c>
      <c r="J230" s="12">
        <v>0.75</v>
      </c>
    </row>
    <row r="231">
      <c r="A231" s="6" t="s">
        <v>130</v>
      </c>
      <c r="B231" s="7" t="s">
        <v>11</v>
      </c>
      <c r="C231" s="7" t="s">
        <v>15</v>
      </c>
      <c r="D231" s="7" t="s">
        <v>19</v>
      </c>
      <c r="E231" s="8">
        <v>24.0</v>
      </c>
      <c r="F231" s="8">
        <v>8036.0</v>
      </c>
      <c r="G231" s="10">
        <f t="shared" si="7"/>
        <v>2009</v>
      </c>
      <c r="H231" s="10">
        <v>2019.0</v>
      </c>
      <c r="I231" s="11">
        <f t="shared" si="1"/>
        <v>803.6</v>
      </c>
      <c r="J231" s="12">
        <v>0.75</v>
      </c>
    </row>
    <row r="232">
      <c r="A232" s="13">
        <v>43474.0</v>
      </c>
      <c r="B232" s="7" t="s">
        <v>14</v>
      </c>
      <c r="C232" s="7" t="s">
        <v>18</v>
      </c>
      <c r="D232" s="7" t="s">
        <v>13</v>
      </c>
      <c r="E232" s="8">
        <v>24.0</v>
      </c>
      <c r="F232" s="8">
        <v>8056.0</v>
      </c>
      <c r="G232" s="10">
        <f t="shared" si="7"/>
        <v>2014</v>
      </c>
      <c r="H232" s="10">
        <v>2019.0</v>
      </c>
      <c r="I232" s="11">
        <f t="shared" si="1"/>
        <v>805.6</v>
      </c>
      <c r="J232" s="12">
        <v>0.75</v>
      </c>
    </row>
    <row r="233">
      <c r="A233" s="13">
        <v>43505.0</v>
      </c>
      <c r="B233" s="7" t="s">
        <v>17</v>
      </c>
      <c r="C233" s="7" t="s">
        <v>12</v>
      </c>
      <c r="D233" s="7" t="s">
        <v>16</v>
      </c>
      <c r="E233" s="8">
        <v>24.0</v>
      </c>
      <c r="F233" s="8">
        <v>8076.0</v>
      </c>
      <c r="G233" s="10">
        <f t="shared" si="7"/>
        <v>2019</v>
      </c>
      <c r="H233" s="10">
        <v>2019.0</v>
      </c>
      <c r="I233" s="11">
        <f t="shared" si="1"/>
        <v>807.6</v>
      </c>
      <c r="J233" s="12">
        <v>0.75</v>
      </c>
    </row>
    <row r="234">
      <c r="A234" s="13">
        <v>43533.0</v>
      </c>
      <c r="B234" s="7" t="s">
        <v>20</v>
      </c>
      <c r="C234" s="7" t="s">
        <v>15</v>
      </c>
      <c r="D234" s="7" t="s">
        <v>19</v>
      </c>
      <c r="E234" s="8">
        <v>24.0</v>
      </c>
      <c r="F234" s="8">
        <v>8096.0</v>
      </c>
      <c r="G234" s="10">
        <f t="shared" si="7"/>
        <v>2024</v>
      </c>
      <c r="H234" s="10">
        <v>2019.0</v>
      </c>
      <c r="I234" s="11">
        <f t="shared" si="1"/>
        <v>809.6</v>
      </c>
      <c r="J234" s="12">
        <v>0.75</v>
      </c>
    </row>
    <row r="235">
      <c r="A235" s="13">
        <v>43564.0</v>
      </c>
      <c r="B235" s="7" t="s">
        <v>21</v>
      </c>
      <c r="C235" s="7" t="s">
        <v>18</v>
      </c>
      <c r="D235" s="7" t="s">
        <v>13</v>
      </c>
      <c r="E235" s="8">
        <v>25.0</v>
      </c>
      <c r="F235" s="8">
        <v>8116.0</v>
      </c>
      <c r="G235" s="10">
        <f t="shared" si="7"/>
        <v>2029</v>
      </c>
      <c r="H235" s="10">
        <v>2019.0</v>
      </c>
      <c r="I235" s="11">
        <f t="shared" si="1"/>
        <v>811.6</v>
      </c>
      <c r="J235" s="12">
        <v>0.75</v>
      </c>
    </row>
    <row r="236">
      <c r="A236" s="13">
        <v>43594.0</v>
      </c>
      <c r="B236" s="7" t="s">
        <v>11</v>
      </c>
      <c r="C236" s="7" t="s">
        <v>12</v>
      </c>
      <c r="D236" s="7" t="s">
        <v>25</v>
      </c>
      <c r="E236" s="8">
        <v>25.0</v>
      </c>
      <c r="F236" s="8">
        <v>8136.0</v>
      </c>
      <c r="G236" s="10">
        <f t="shared" si="7"/>
        <v>2034</v>
      </c>
      <c r="H236" s="10">
        <v>2019.0</v>
      </c>
      <c r="I236" s="11">
        <f t="shared" si="1"/>
        <v>813.6</v>
      </c>
      <c r="J236" s="12">
        <v>0.75</v>
      </c>
    </row>
    <row r="237">
      <c r="A237" s="13">
        <v>43625.0</v>
      </c>
      <c r="B237" s="7" t="s">
        <v>14</v>
      </c>
      <c r="C237" s="7" t="s">
        <v>15</v>
      </c>
      <c r="D237" s="7" t="s">
        <v>16</v>
      </c>
      <c r="E237" s="8">
        <v>25.0</v>
      </c>
      <c r="F237" s="8">
        <v>8156.0</v>
      </c>
      <c r="G237" s="10">
        <f t="shared" si="7"/>
        <v>2039</v>
      </c>
      <c r="H237" s="10">
        <v>2019.0</v>
      </c>
      <c r="I237" s="11">
        <f t="shared" si="1"/>
        <v>815.6</v>
      </c>
      <c r="J237" s="12">
        <v>0.75</v>
      </c>
    </row>
    <row r="238">
      <c r="A238" s="13">
        <v>43655.0</v>
      </c>
      <c r="B238" s="7" t="s">
        <v>17</v>
      </c>
      <c r="C238" s="7" t="s">
        <v>18</v>
      </c>
      <c r="D238" s="7" t="s">
        <v>19</v>
      </c>
      <c r="E238" s="8">
        <v>25.0</v>
      </c>
      <c r="F238" s="8">
        <v>8177.0</v>
      </c>
      <c r="G238" s="10">
        <f t="shared" si="7"/>
        <v>2044.25</v>
      </c>
      <c r="H238" s="10">
        <v>2019.0</v>
      </c>
      <c r="I238" s="11">
        <f t="shared" si="1"/>
        <v>817.7</v>
      </c>
      <c r="J238" s="12">
        <v>0.75</v>
      </c>
    </row>
    <row r="239">
      <c r="A239" s="13">
        <v>43686.0</v>
      </c>
      <c r="B239" s="7" t="s">
        <v>20</v>
      </c>
      <c r="C239" s="7" t="s">
        <v>12</v>
      </c>
      <c r="D239" s="7" t="s">
        <v>13</v>
      </c>
      <c r="E239" s="8">
        <v>25.0</v>
      </c>
      <c r="F239" s="8">
        <v>8197.0</v>
      </c>
      <c r="G239" s="10">
        <f t="shared" si="7"/>
        <v>2049.25</v>
      </c>
      <c r="H239" s="10">
        <v>2019.0</v>
      </c>
      <c r="I239" s="11">
        <f t="shared" si="1"/>
        <v>819.7</v>
      </c>
      <c r="J239" s="12">
        <v>0.75</v>
      </c>
    </row>
    <row r="240">
      <c r="A240" s="13">
        <v>43717.0</v>
      </c>
      <c r="B240" s="7" t="s">
        <v>11</v>
      </c>
      <c r="C240" s="7" t="s">
        <v>12</v>
      </c>
      <c r="D240" s="7" t="s">
        <v>13</v>
      </c>
      <c r="E240" s="8">
        <v>25.0</v>
      </c>
      <c r="F240" s="8">
        <v>8217.0</v>
      </c>
      <c r="G240" s="10">
        <f t="shared" si="7"/>
        <v>2054.25</v>
      </c>
      <c r="H240" s="10">
        <v>2019.0</v>
      </c>
      <c r="I240" s="11">
        <f t="shared" si="1"/>
        <v>821.7</v>
      </c>
      <c r="J240" s="12">
        <v>0.75</v>
      </c>
    </row>
    <row r="241">
      <c r="A241" s="13">
        <v>44113.0</v>
      </c>
      <c r="B241" s="7" t="s">
        <v>14</v>
      </c>
      <c r="C241" s="7" t="s">
        <v>15</v>
      </c>
      <c r="D241" s="7" t="s">
        <v>16</v>
      </c>
      <c r="E241" s="8">
        <v>25.0</v>
      </c>
      <c r="F241" s="8">
        <v>8237.0</v>
      </c>
      <c r="G241" s="10">
        <f t="shared" si="7"/>
        <v>2059.25</v>
      </c>
      <c r="H241" s="10">
        <v>2020.0</v>
      </c>
      <c r="I241" s="11">
        <f t="shared" si="1"/>
        <v>823.7</v>
      </c>
      <c r="J241" s="12">
        <v>0.75</v>
      </c>
    </row>
    <row r="242">
      <c r="A242" s="13">
        <v>44113.0</v>
      </c>
      <c r="B242" s="7" t="s">
        <v>17</v>
      </c>
      <c r="C242" s="7" t="s">
        <v>18</v>
      </c>
      <c r="D242" s="7" t="s">
        <v>19</v>
      </c>
      <c r="E242" s="8">
        <v>25.0</v>
      </c>
      <c r="F242" s="8">
        <v>8257.0</v>
      </c>
      <c r="G242" s="10">
        <f t="shared" si="7"/>
        <v>2064.25</v>
      </c>
      <c r="H242" s="10">
        <v>2020.0</v>
      </c>
      <c r="I242" s="11">
        <f t="shared" si="1"/>
        <v>825.7</v>
      </c>
      <c r="J242" s="12">
        <v>0.75</v>
      </c>
    </row>
    <row r="243">
      <c r="A243" s="13">
        <v>44113.0</v>
      </c>
      <c r="B243" s="7" t="s">
        <v>20</v>
      </c>
      <c r="C243" s="7" t="s">
        <v>12</v>
      </c>
      <c r="D243" s="7" t="s">
        <v>13</v>
      </c>
      <c r="E243" s="8">
        <v>25.0</v>
      </c>
      <c r="F243" s="8">
        <v>8277.0</v>
      </c>
      <c r="G243" s="10">
        <f t="shared" si="7"/>
        <v>2069.25</v>
      </c>
      <c r="H243" s="10">
        <v>2020.0</v>
      </c>
      <c r="I243" s="11">
        <f t="shared" si="1"/>
        <v>827.7</v>
      </c>
      <c r="J243" s="12">
        <v>0.75</v>
      </c>
    </row>
    <row r="244">
      <c r="A244" s="13">
        <v>44113.0</v>
      </c>
      <c r="B244" s="7" t="s">
        <v>21</v>
      </c>
      <c r="C244" s="7" t="s">
        <v>15</v>
      </c>
      <c r="D244" s="7" t="s">
        <v>13</v>
      </c>
      <c r="E244" s="8">
        <v>25.0</v>
      </c>
      <c r="F244" s="8">
        <v>8297.0</v>
      </c>
      <c r="G244" s="10">
        <f t="shared" si="7"/>
        <v>2074.25</v>
      </c>
      <c r="H244" s="10">
        <v>2020.0</v>
      </c>
      <c r="I244" s="11">
        <f t="shared" si="1"/>
        <v>829.7</v>
      </c>
      <c r="J244" s="12">
        <v>0.75</v>
      </c>
    </row>
    <row r="245">
      <c r="A245" s="13">
        <v>44113.0</v>
      </c>
      <c r="B245" s="7" t="s">
        <v>11</v>
      </c>
      <c r="C245" s="7" t="s">
        <v>18</v>
      </c>
      <c r="D245" s="7" t="s">
        <v>16</v>
      </c>
      <c r="E245" s="8">
        <v>25.0</v>
      </c>
      <c r="F245" s="8">
        <v>8317.0</v>
      </c>
      <c r="G245" s="10">
        <f t="shared" si="7"/>
        <v>2079.25</v>
      </c>
      <c r="H245" s="10">
        <v>2020.0</v>
      </c>
      <c r="I245" s="11">
        <f t="shared" si="1"/>
        <v>831.7</v>
      </c>
      <c r="J245" s="12">
        <v>0.75</v>
      </c>
    </row>
    <row r="246">
      <c r="A246" s="13">
        <v>44113.0</v>
      </c>
      <c r="B246" s="7" t="s">
        <v>14</v>
      </c>
      <c r="C246" s="7" t="s">
        <v>12</v>
      </c>
      <c r="D246" s="7" t="s">
        <v>19</v>
      </c>
      <c r="E246" s="8">
        <v>25.0</v>
      </c>
      <c r="F246" s="8">
        <v>8337.0</v>
      </c>
      <c r="G246" s="10">
        <f t="shared" si="7"/>
        <v>2084.25</v>
      </c>
      <c r="H246" s="10">
        <v>2020.0</v>
      </c>
      <c r="I246" s="11">
        <f t="shared" si="1"/>
        <v>833.7</v>
      </c>
      <c r="J246" s="12">
        <v>0.75</v>
      </c>
    </row>
    <row r="247">
      <c r="A247" s="13">
        <v>44113.0</v>
      </c>
      <c r="B247" s="7" t="s">
        <v>17</v>
      </c>
      <c r="C247" s="7" t="s">
        <v>15</v>
      </c>
      <c r="D247" s="7" t="s">
        <v>16</v>
      </c>
      <c r="E247" s="8">
        <v>26.0</v>
      </c>
      <c r="F247" s="8">
        <v>8357.0</v>
      </c>
      <c r="G247" s="10">
        <f t="shared" si="7"/>
        <v>2089.25</v>
      </c>
      <c r="H247" s="10">
        <v>2020.0</v>
      </c>
      <c r="I247" s="11">
        <f t="shared" si="1"/>
        <v>835.7</v>
      </c>
      <c r="J247" s="12">
        <v>0.75</v>
      </c>
    </row>
    <row r="248">
      <c r="A248" s="13">
        <v>44113.0</v>
      </c>
      <c r="B248" s="7" t="s">
        <v>20</v>
      </c>
      <c r="C248" s="7" t="s">
        <v>18</v>
      </c>
      <c r="D248" s="7" t="s">
        <v>16</v>
      </c>
      <c r="E248" s="8">
        <v>26.0</v>
      </c>
      <c r="F248" s="8">
        <v>8377.0</v>
      </c>
      <c r="G248" s="10">
        <f t="shared" si="7"/>
        <v>2094.25</v>
      </c>
      <c r="H248" s="10">
        <v>2020.0</v>
      </c>
      <c r="I248" s="11">
        <f t="shared" si="1"/>
        <v>837.7</v>
      </c>
      <c r="J248" s="12">
        <v>0.75</v>
      </c>
    </row>
    <row r="249">
      <c r="A249" s="13">
        <v>44113.0</v>
      </c>
      <c r="B249" s="7" t="s">
        <v>21</v>
      </c>
      <c r="C249" s="7" t="s">
        <v>12</v>
      </c>
      <c r="D249" s="7" t="s">
        <v>25</v>
      </c>
      <c r="E249" s="8">
        <v>26.0</v>
      </c>
      <c r="F249" s="8">
        <v>8397.0</v>
      </c>
      <c r="G249" s="10">
        <f t="shared" si="7"/>
        <v>2099.25</v>
      </c>
      <c r="H249" s="10">
        <v>2020.0</v>
      </c>
      <c r="I249" s="11">
        <f t="shared" si="1"/>
        <v>839.7</v>
      </c>
      <c r="J249" s="12">
        <v>0.75</v>
      </c>
    </row>
    <row r="250">
      <c r="A250" s="13">
        <v>44113.0</v>
      </c>
      <c r="B250" s="7" t="s">
        <v>11</v>
      </c>
      <c r="C250" s="7" t="s">
        <v>15</v>
      </c>
      <c r="D250" s="7" t="s">
        <v>16</v>
      </c>
      <c r="E250" s="8">
        <v>26.0</v>
      </c>
      <c r="F250" s="8">
        <v>8417.0</v>
      </c>
      <c r="G250" s="10">
        <f t="shared" si="7"/>
        <v>2104.25</v>
      </c>
      <c r="H250" s="10">
        <v>2020.0</v>
      </c>
      <c r="I250" s="11">
        <f t="shared" si="1"/>
        <v>841.7</v>
      </c>
      <c r="J250" s="12">
        <v>0.75</v>
      </c>
    </row>
    <row r="251">
      <c r="A251" s="13">
        <v>44113.0</v>
      </c>
      <c r="B251" s="7" t="s">
        <v>14</v>
      </c>
      <c r="C251" s="7" t="s">
        <v>18</v>
      </c>
      <c r="D251" s="7" t="s">
        <v>19</v>
      </c>
      <c r="E251" s="8">
        <v>26.0</v>
      </c>
      <c r="F251" s="8">
        <v>8437.0</v>
      </c>
      <c r="G251" s="10">
        <f t="shared" si="7"/>
        <v>2109.25</v>
      </c>
      <c r="H251" s="10">
        <v>2020.0</v>
      </c>
      <c r="I251" s="11">
        <f t="shared" si="1"/>
        <v>843.7</v>
      </c>
      <c r="J251" s="12">
        <v>0.75</v>
      </c>
    </row>
    <row r="252">
      <c r="A252" s="13">
        <v>44113.0</v>
      </c>
      <c r="B252" s="7" t="s">
        <v>17</v>
      </c>
      <c r="C252" s="7" t="s">
        <v>12</v>
      </c>
      <c r="D252" s="7" t="s">
        <v>13</v>
      </c>
      <c r="E252" s="8">
        <v>26.0</v>
      </c>
      <c r="F252" s="8">
        <v>8457.0</v>
      </c>
      <c r="G252" s="10">
        <f t="shared" si="7"/>
        <v>2114.25</v>
      </c>
      <c r="H252" s="10">
        <v>2020.0</v>
      </c>
      <c r="I252" s="11">
        <f t="shared" si="1"/>
        <v>845.7</v>
      </c>
      <c r="J252" s="12">
        <v>0.75</v>
      </c>
    </row>
    <row r="253">
      <c r="A253" s="13">
        <v>44113.0</v>
      </c>
      <c r="B253" s="7" t="s">
        <v>20</v>
      </c>
      <c r="C253" s="7" t="s">
        <v>15</v>
      </c>
      <c r="D253" s="7" t="s">
        <v>16</v>
      </c>
      <c r="E253" s="8">
        <v>26.0</v>
      </c>
      <c r="F253" s="8">
        <v>8477.0</v>
      </c>
      <c r="G253" s="10">
        <f t="shared" si="7"/>
        <v>2119.25</v>
      </c>
      <c r="H253" s="10">
        <v>2020.0</v>
      </c>
      <c r="I253" s="11">
        <f t="shared" si="1"/>
        <v>847.7</v>
      </c>
      <c r="J253" s="12">
        <v>0.75</v>
      </c>
    </row>
    <row r="254">
      <c r="A254" s="13">
        <v>44113.0</v>
      </c>
      <c r="B254" s="7" t="s">
        <v>21</v>
      </c>
      <c r="C254" s="7" t="s">
        <v>18</v>
      </c>
      <c r="D254" s="7" t="s">
        <v>19</v>
      </c>
      <c r="E254" s="8">
        <v>26.0</v>
      </c>
      <c r="F254" s="8">
        <v>8497.0</v>
      </c>
      <c r="G254" s="10">
        <f t="shared" si="7"/>
        <v>2124.25</v>
      </c>
      <c r="H254" s="10">
        <v>2020.0</v>
      </c>
      <c r="I254" s="11">
        <f t="shared" si="1"/>
        <v>849.7</v>
      </c>
      <c r="J254" s="12">
        <v>0.75</v>
      </c>
    </row>
    <row r="255">
      <c r="A255" s="13">
        <v>44113.0</v>
      </c>
      <c r="B255" s="7" t="s">
        <v>11</v>
      </c>
      <c r="C255" s="7" t="s">
        <v>12</v>
      </c>
      <c r="D255" s="7" t="s">
        <v>13</v>
      </c>
      <c r="E255" s="8">
        <v>26.0</v>
      </c>
      <c r="F255" s="8">
        <v>8517.0</v>
      </c>
      <c r="G255" s="10">
        <f t="shared" si="7"/>
        <v>2129.25</v>
      </c>
      <c r="H255" s="10">
        <v>2020.0</v>
      </c>
      <c r="I255" s="11">
        <f t="shared" si="1"/>
        <v>851.7</v>
      </c>
      <c r="J255" s="12">
        <v>0.75</v>
      </c>
    </row>
    <row r="256">
      <c r="A256" s="13">
        <v>44113.0</v>
      </c>
      <c r="B256" s="7" t="s">
        <v>14</v>
      </c>
      <c r="C256" s="7" t="s">
        <v>15</v>
      </c>
      <c r="D256" s="7" t="s">
        <v>25</v>
      </c>
      <c r="E256" s="8">
        <v>26.0</v>
      </c>
      <c r="F256" s="8">
        <v>8537.0</v>
      </c>
      <c r="G256" s="10">
        <f t="shared" si="7"/>
        <v>2134.25</v>
      </c>
      <c r="H256" s="10">
        <v>2020.0</v>
      </c>
      <c r="I256" s="11">
        <f t="shared" si="1"/>
        <v>853.7</v>
      </c>
      <c r="J256" s="12">
        <v>0.75</v>
      </c>
    </row>
    <row r="257">
      <c r="A257" s="13">
        <v>44113.0</v>
      </c>
      <c r="B257" s="7" t="s">
        <v>17</v>
      </c>
      <c r="C257" s="7" t="s">
        <v>18</v>
      </c>
      <c r="D257" s="7" t="s">
        <v>16</v>
      </c>
      <c r="E257" s="8">
        <v>26.0</v>
      </c>
      <c r="F257" s="8">
        <v>8557.0</v>
      </c>
      <c r="G257" s="10">
        <f t="shared" si="7"/>
        <v>2139.25</v>
      </c>
      <c r="H257" s="10">
        <v>2020.0</v>
      </c>
      <c r="I257" s="11">
        <f t="shared" si="1"/>
        <v>855.7</v>
      </c>
      <c r="J257" s="12">
        <v>0.75</v>
      </c>
    </row>
    <row r="258">
      <c r="A258" s="13">
        <v>44113.0</v>
      </c>
      <c r="B258" s="7" t="s">
        <v>20</v>
      </c>
      <c r="C258" s="7" t="s">
        <v>12</v>
      </c>
      <c r="D258" s="7" t="s">
        <v>19</v>
      </c>
      <c r="E258" s="8">
        <v>26.0</v>
      </c>
      <c r="F258" s="8">
        <v>8577.0</v>
      </c>
      <c r="G258" s="10">
        <f t="shared" si="7"/>
        <v>2144.25</v>
      </c>
      <c r="H258" s="10">
        <v>2020.0</v>
      </c>
      <c r="I258" s="11">
        <f t="shared" si="1"/>
        <v>857.7</v>
      </c>
      <c r="J258" s="12">
        <v>0.75</v>
      </c>
    </row>
    <row r="259">
      <c r="A259" s="13">
        <v>44113.0</v>
      </c>
      <c r="B259" s="7" t="s">
        <v>21</v>
      </c>
      <c r="C259" s="7" t="s">
        <v>15</v>
      </c>
      <c r="D259" s="7" t="s">
        <v>13</v>
      </c>
      <c r="E259" s="8">
        <v>26.0</v>
      </c>
      <c r="F259" s="8">
        <v>8597.0</v>
      </c>
      <c r="G259" s="10">
        <f t="shared" si="7"/>
        <v>2149.25</v>
      </c>
      <c r="H259" s="10">
        <v>2020.0</v>
      </c>
      <c r="I259" s="11">
        <f t="shared" si="1"/>
        <v>859.7</v>
      </c>
      <c r="J259" s="12">
        <v>0.75</v>
      </c>
    </row>
    <row r="260">
      <c r="A260" s="13">
        <v>44113.0</v>
      </c>
      <c r="B260" s="7" t="s">
        <v>11</v>
      </c>
      <c r="C260" s="7" t="s">
        <v>18</v>
      </c>
      <c r="D260" s="7" t="s">
        <v>16</v>
      </c>
      <c r="E260" s="8">
        <v>27.0</v>
      </c>
      <c r="F260" s="8">
        <v>8617.0</v>
      </c>
      <c r="G260" s="10">
        <f t="shared" si="7"/>
        <v>2154.25</v>
      </c>
      <c r="H260" s="10">
        <v>2020.0</v>
      </c>
      <c r="I260" s="11">
        <f t="shared" si="1"/>
        <v>861.7</v>
      </c>
      <c r="J260" s="12">
        <v>0.75</v>
      </c>
    </row>
    <row r="261">
      <c r="A261" s="13">
        <v>44113.0</v>
      </c>
      <c r="B261" s="7" t="s">
        <v>14</v>
      </c>
      <c r="C261" s="7" t="s">
        <v>12</v>
      </c>
      <c r="D261" s="7" t="s">
        <v>19</v>
      </c>
      <c r="E261" s="8">
        <v>27.0</v>
      </c>
      <c r="F261" s="8">
        <v>8637.0</v>
      </c>
      <c r="G261" s="10">
        <f t="shared" si="7"/>
        <v>2159.25</v>
      </c>
      <c r="H261" s="10">
        <v>2020.0</v>
      </c>
      <c r="I261" s="11">
        <f t="shared" si="1"/>
        <v>863.7</v>
      </c>
      <c r="J261" s="12">
        <v>0.75</v>
      </c>
    </row>
    <row r="262">
      <c r="A262" s="13">
        <v>43475.0</v>
      </c>
      <c r="B262" s="7" t="s">
        <v>17</v>
      </c>
      <c r="C262" s="7" t="s">
        <v>15</v>
      </c>
      <c r="D262" s="7" t="s">
        <v>13</v>
      </c>
      <c r="E262" s="8">
        <v>27.0</v>
      </c>
      <c r="F262" s="8">
        <v>8657.0</v>
      </c>
      <c r="G262" s="10">
        <f t="shared" si="7"/>
        <v>2164.25</v>
      </c>
      <c r="H262" s="10">
        <v>2019.0</v>
      </c>
      <c r="I262" s="11">
        <f t="shared" si="1"/>
        <v>865.7</v>
      </c>
      <c r="J262" s="12">
        <v>0.75</v>
      </c>
    </row>
    <row r="263">
      <c r="A263" s="13">
        <v>43506.0</v>
      </c>
      <c r="B263" s="7" t="s">
        <v>20</v>
      </c>
      <c r="C263" s="7" t="s">
        <v>18</v>
      </c>
      <c r="D263" s="7" t="s">
        <v>25</v>
      </c>
      <c r="E263" s="8">
        <v>27.0</v>
      </c>
      <c r="F263" s="8">
        <v>8677.0</v>
      </c>
      <c r="G263" s="10">
        <f t="shared" si="7"/>
        <v>2169.25</v>
      </c>
      <c r="H263" s="10">
        <v>2019.0</v>
      </c>
      <c r="I263" s="11">
        <f t="shared" si="1"/>
        <v>867.7</v>
      </c>
      <c r="J263" s="12">
        <v>0.75</v>
      </c>
    </row>
    <row r="264">
      <c r="A264" s="13">
        <v>43534.0</v>
      </c>
      <c r="B264" s="7" t="s">
        <v>21</v>
      </c>
      <c r="C264" s="7" t="s">
        <v>12</v>
      </c>
      <c r="D264" s="7" t="s">
        <v>16</v>
      </c>
      <c r="E264" s="8">
        <v>27.0</v>
      </c>
      <c r="F264" s="8">
        <v>8697.0</v>
      </c>
      <c r="G264" s="10">
        <f t="shared" si="7"/>
        <v>2174.25</v>
      </c>
      <c r="H264" s="10">
        <v>2019.0</v>
      </c>
      <c r="I264" s="11">
        <f t="shared" si="1"/>
        <v>869.7</v>
      </c>
      <c r="J264" s="12">
        <v>0.75</v>
      </c>
    </row>
    <row r="265">
      <c r="A265" s="13">
        <v>43565.0</v>
      </c>
      <c r="B265" s="7" t="s">
        <v>11</v>
      </c>
      <c r="C265" s="7" t="s">
        <v>15</v>
      </c>
      <c r="D265" s="7" t="s">
        <v>19</v>
      </c>
      <c r="E265" s="8">
        <v>27.0</v>
      </c>
      <c r="F265" s="8">
        <v>8717.0</v>
      </c>
      <c r="G265" s="10">
        <f t="shared" si="7"/>
        <v>2179.25</v>
      </c>
      <c r="H265" s="10">
        <v>2019.0</v>
      </c>
      <c r="I265" s="11">
        <f t="shared" si="1"/>
        <v>871.7</v>
      </c>
      <c r="J265" s="12">
        <v>0.75</v>
      </c>
    </row>
    <row r="266">
      <c r="A266" s="13">
        <v>43595.0</v>
      </c>
      <c r="B266" s="7" t="s">
        <v>14</v>
      </c>
      <c r="C266" s="7" t="s">
        <v>18</v>
      </c>
      <c r="D266" s="7" t="s">
        <v>13</v>
      </c>
      <c r="E266" s="8">
        <v>27.0</v>
      </c>
      <c r="F266" s="8">
        <v>8737.0</v>
      </c>
      <c r="G266" s="10">
        <f t="shared" si="7"/>
        <v>2184.25</v>
      </c>
      <c r="H266" s="10">
        <v>2019.0</v>
      </c>
      <c r="I266" s="11">
        <f t="shared" si="1"/>
        <v>873.7</v>
      </c>
      <c r="J266" s="12">
        <v>0.75</v>
      </c>
    </row>
    <row r="267">
      <c r="A267" s="13">
        <v>43626.0</v>
      </c>
      <c r="B267" s="7" t="s">
        <v>17</v>
      </c>
      <c r="C267" s="7" t="s">
        <v>12</v>
      </c>
      <c r="D267" s="7" t="s">
        <v>16</v>
      </c>
      <c r="E267" s="8">
        <v>27.0</v>
      </c>
      <c r="F267" s="8">
        <v>8757.0</v>
      </c>
      <c r="G267" s="10">
        <f t="shared" si="7"/>
        <v>2189.25</v>
      </c>
      <c r="H267" s="10">
        <v>2019.0</v>
      </c>
      <c r="I267" s="11">
        <f t="shared" si="1"/>
        <v>875.7</v>
      </c>
      <c r="J267" s="12">
        <v>0.75</v>
      </c>
    </row>
    <row r="268">
      <c r="A268" s="13">
        <v>43656.0</v>
      </c>
      <c r="B268" s="7" t="s">
        <v>20</v>
      </c>
      <c r="C268" s="7" t="s">
        <v>15</v>
      </c>
      <c r="D268" s="7" t="s">
        <v>19</v>
      </c>
      <c r="E268" s="8">
        <v>27.0</v>
      </c>
      <c r="F268" s="8">
        <v>8777.0</v>
      </c>
      <c r="G268" s="10">
        <f t="shared" si="7"/>
        <v>2194.25</v>
      </c>
      <c r="H268" s="10">
        <v>2019.0</v>
      </c>
      <c r="I268" s="11">
        <f t="shared" si="1"/>
        <v>877.7</v>
      </c>
      <c r="J268" s="12">
        <v>0.75</v>
      </c>
    </row>
    <row r="269">
      <c r="A269" s="13">
        <v>43687.0</v>
      </c>
      <c r="B269" s="7" t="s">
        <v>21</v>
      </c>
      <c r="C269" s="7" t="s">
        <v>18</v>
      </c>
      <c r="D269" s="7" t="s">
        <v>13</v>
      </c>
      <c r="E269" s="8">
        <v>27.0</v>
      </c>
      <c r="F269" s="8">
        <v>8798.0</v>
      </c>
      <c r="G269" s="10">
        <f t="shared" si="7"/>
        <v>2199.5</v>
      </c>
      <c r="H269" s="10">
        <v>2019.0</v>
      </c>
      <c r="I269" s="11">
        <f t="shared" si="1"/>
        <v>879.8</v>
      </c>
      <c r="J269" s="12">
        <v>0.75</v>
      </c>
    </row>
    <row r="270">
      <c r="A270" s="13">
        <v>43718.0</v>
      </c>
      <c r="B270" s="7" t="s">
        <v>11</v>
      </c>
      <c r="C270" s="7" t="s">
        <v>12</v>
      </c>
      <c r="D270" s="7" t="s">
        <v>25</v>
      </c>
      <c r="E270" s="8">
        <v>27.0</v>
      </c>
      <c r="F270" s="8">
        <v>8818.0</v>
      </c>
      <c r="G270" s="10">
        <f t="shared" si="7"/>
        <v>2204.5</v>
      </c>
      <c r="H270" s="10">
        <v>2019.0</v>
      </c>
      <c r="I270" s="11">
        <f t="shared" si="1"/>
        <v>881.8</v>
      </c>
      <c r="J270" s="12">
        <v>0.75</v>
      </c>
    </row>
    <row r="271">
      <c r="A271" s="14">
        <v>43748.0</v>
      </c>
      <c r="B271" s="7" t="s">
        <v>14</v>
      </c>
      <c r="C271" s="7" t="s">
        <v>15</v>
      </c>
      <c r="D271" s="7" t="s">
        <v>16</v>
      </c>
      <c r="E271" s="8">
        <v>27.0</v>
      </c>
      <c r="F271" s="8">
        <v>8838.0</v>
      </c>
      <c r="G271" s="10">
        <f t="shared" si="7"/>
        <v>2209.5</v>
      </c>
      <c r="H271" s="10">
        <v>2019.0</v>
      </c>
      <c r="I271" s="11">
        <f t="shared" si="1"/>
        <v>883.8</v>
      </c>
      <c r="J271" s="12">
        <v>0.75</v>
      </c>
    </row>
    <row r="272">
      <c r="A272" s="14">
        <v>43779.0</v>
      </c>
      <c r="B272" s="7" t="s">
        <v>17</v>
      </c>
      <c r="C272" s="7" t="s">
        <v>18</v>
      </c>
      <c r="D272" s="7" t="s">
        <v>19</v>
      </c>
      <c r="E272" s="8">
        <v>28.0</v>
      </c>
      <c r="F272" s="8">
        <v>8858.0</v>
      </c>
      <c r="G272" s="10">
        <f t="shared" si="7"/>
        <v>2214.5</v>
      </c>
      <c r="H272" s="10">
        <v>2019.0</v>
      </c>
      <c r="I272" s="11">
        <f t="shared" si="1"/>
        <v>885.8</v>
      </c>
      <c r="J272" s="12">
        <v>0.75</v>
      </c>
    </row>
    <row r="273">
      <c r="A273" s="14">
        <v>43809.0</v>
      </c>
      <c r="B273" s="7" t="s">
        <v>20</v>
      </c>
      <c r="C273" s="7" t="s">
        <v>12</v>
      </c>
      <c r="D273" s="7" t="s">
        <v>13</v>
      </c>
      <c r="E273" s="8">
        <v>28.0</v>
      </c>
      <c r="F273" s="8">
        <v>8878.0</v>
      </c>
      <c r="G273" s="10">
        <f t="shared" si="7"/>
        <v>2219.5</v>
      </c>
      <c r="H273" s="10">
        <v>2019.0</v>
      </c>
      <c r="I273" s="11">
        <f t="shared" si="1"/>
        <v>887.8</v>
      </c>
      <c r="J273" s="12">
        <v>0.75</v>
      </c>
    </row>
    <row r="274">
      <c r="A274" s="6" t="s">
        <v>131</v>
      </c>
      <c r="B274" s="7" t="s">
        <v>11</v>
      </c>
      <c r="C274" s="7" t="s">
        <v>12</v>
      </c>
      <c r="D274" s="7" t="s">
        <v>13</v>
      </c>
      <c r="E274" s="8">
        <v>28.0</v>
      </c>
      <c r="F274" s="8">
        <v>8898.0</v>
      </c>
      <c r="G274" s="10">
        <f t="shared" si="7"/>
        <v>2224.5</v>
      </c>
      <c r="H274" s="10">
        <v>2019.0</v>
      </c>
      <c r="I274" s="11">
        <f t="shared" si="1"/>
        <v>889.8</v>
      </c>
      <c r="J274" s="12">
        <v>0.75</v>
      </c>
    </row>
    <row r="275">
      <c r="A275" s="6" t="s">
        <v>132</v>
      </c>
      <c r="B275" s="7" t="s">
        <v>14</v>
      </c>
      <c r="C275" s="7" t="s">
        <v>15</v>
      </c>
      <c r="D275" s="7" t="s">
        <v>16</v>
      </c>
      <c r="E275" s="8">
        <v>28.0</v>
      </c>
      <c r="F275" s="8">
        <v>8918.0</v>
      </c>
      <c r="G275" s="10">
        <f t="shared" si="7"/>
        <v>2229.5</v>
      </c>
      <c r="H275" s="10">
        <v>2019.0</v>
      </c>
      <c r="I275" s="11">
        <f t="shared" si="1"/>
        <v>891.8</v>
      </c>
      <c r="J275" s="12">
        <v>0.75</v>
      </c>
    </row>
    <row r="276">
      <c r="A276" s="6" t="s">
        <v>133</v>
      </c>
      <c r="B276" s="7" t="s">
        <v>17</v>
      </c>
      <c r="C276" s="7" t="s">
        <v>18</v>
      </c>
      <c r="D276" s="7" t="s">
        <v>19</v>
      </c>
      <c r="E276" s="8">
        <v>28.0</v>
      </c>
      <c r="F276" s="8">
        <v>8938.0</v>
      </c>
      <c r="G276" s="10">
        <f t="shared" si="7"/>
        <v>2234.5</v>
      </c>
      <c r="H276" s="10">
        <v>2019.0</v>
      </c>
      <c r="I276" s="11">
        <f t="shared" si="1"/>
        <v>893.8</v>
      </c>
      <c r="J276" s="12">
        <v>0.75</v>
      </c>
    </row>
    <row r="277">
      <c r="A277" s="6" t="s">
        <v>134</v>
      </c>
      <c r="B277" s="7" t="s">
        <v>20</v>
      </c>
      <c r="C277" s="7" t="s">
        <v>12</v>
      </c>
      <c r="D277" s="7" t="s">
        <v>13</v>
      </c>
      <c r="E277" s="8">
        <v>28.0</v>
      </c>
      <c r="F277" s="8">
        <v>8958.0</v>
      </c>
      <c r="G277" s="10">
        <f t="shared" si="7"/>
        <v>2239.5</v>
      </c>
      <c r="H277" s="10">
        <v>2019.0</v>
      </c>
      <c r="I277" s="11">
        <f t="shared" si="1"/>
        <v>895.8</v>
      </c>
      <c r="J277" s="12">
        <v>0.75</v>
      </c>
    </row>
    <row r="278">
      <c r="A278" s="6" t="s">
        <v>135</v>
      </c>
      <c r="B278" s="7" t="s">
        <v>21</v>
      </c>
      <c r="C278" s="7" t="s">
        <v>15</v>
      </c>
      <c r="D278" s="7" t="s">
        <v>13</v>
      </c>
      <c r="E278" s="8">
        <v>28.0</v>
      </c>
      <c r="F278" s="8">
        <v>8978.0</v>
      </c>
      <c r="G278" s="10">
        <f t="shared" si="7"/>
        <v>2244.5</v>
      </c>
      <c r="H278" s="10">
        <v>2019.0</v>
      </c>
      <c r="I278" s="11">
        <f t="shared" si="1"/>
        <v>897.8</v>
      </c>
      <c r="J278" s="12">
        <v>0.75</v>
      </c>
    </row>
    <row r="279">
      <c r="A279" s="6" t="s">
        <v>136</v>
      </c>
      <c r="B279" s="7" t="s">
        <v>11</v>
      </c>
      <c r="C279" s="7" t="s">
        <v>18</v>
      </c>
      <c r="D279" s="7" t="s">
        <v>16</v>
      </c>
      <c r="E279" s="8">
        <v>28.0</v>
      </c>
      <c r="F279" s="8">
        <v>8998.0</v>
      </c>
      <c r="G279" s="10">
        <f t="shared" si="7"/>
        <v>2249.5</v>
      </c>
      <c r="H279" s="10">
        <v>2019.0</v>
      </c>
      <c r="I279" s="11">
        <f t="shared" si="1"/>
        <v>899.8</v>
      </c>
      <c r="J279" s="12">
        <v>0.75</v>
      </c>
    </row>
    <row r="280">
      <c r="A280" s="6" t="s">
        <v>137</v>
      </c>
      <c r="B280" s="7" t="s">
        <v>14</v>
      </c>
      <c r="C280" s="7" t="s">
        <v>12</v>
      </c>
      <c r="D280" s="7" t="s">
        <v>19</v>
      </c>
      <c r="E280" s="8">
        <v>28.0</v>
      </c>
      <c r="F280" s="8">
        <v>9018.0</v>
      </c>
      <c r="G280" s="10">
        <f t="shared" si="7"/>
        <v>2254.5</v>
      </c>
      <c r="H280" s="10">
        <v>2019.0</v>
      </c>
      <c r="I280" s="11">
        <f t="shared" si="1"/>
        <v>901.8</v>
      </c>
      <c r="J280" s="12">
        <v>0.75</v>
      </c>
    </row>
    <row r="281">
      <c r="A281" s="6" t="s">
        <v>138</v>
      </c>
      <c r="B281" s="7" t="s">
        <v>17</v>
      </c>
      <c r="C281" s="7" t="s">
        <v>15</v>
      </c>
      <c r="D281" s="7" t="s">
        <v>16</v>
      </c>
      <c r="E281" s="8">
        <v>28.0</v>
      </c>
      <c r="F281" s="8">
        <v>9038.0</v>
      </c>
      <c r="G281" s="10">
        <f t="shared" si="7"/>
        <v>2259.5</v>
      </c>
      <c r="H281" s="10">
        <v>2019.0</v>
      </c>
      <c r="I281" s="11">
        <f t="shared" si="1"/>
        <v>903.8</v>
      </c>
      <c r="J281" s="12">
        <v>0.75</v>
      </c>
    </row>
    <row r="282">
      <c r="A282" s="6" t="s">
        <v>139</v>
      </c>
      <c r="B282" s="7" t="s">
        <v>20</v>
      </c>
      <c r="C282" s="7" t="s">
        <v>18</v>
      </c>
      <c r="D282" s="7" t="s">
        <v>16</v>
      </c>
      <c r="E282" s="8">
        <v>28.0</v>
      </c>
      <c r="F282" s="8">
        <v>9058.0</v>
      </c>
      <c r="G282" s="10">
        <f t="shared" si="7"/>
        <v>2264.5</v>
      </c>
      <c r="H282" s="10">
        <v>2019.0</v>
      </c>
      <c r="I282" s="11">
        <f t="shared" si="1"/>
        <v>905.8</v>
      </c>
      <c r="J282" s="12">
        <v>0.75</v>
      </c>
    </row>
    <row r="283">
      <c r="A283" s="6" t="s">
        <v>140</v>
      </c>
      <c r="B283" s="7" t="s">
        <v>21</v>
      </c>
      <c r="C283" s="7" t="s">
        <v>12</v>
      </c>
      <c r="D283" s="7" t="s">
        <v>25</v>
      </c>
      <c r="E283" s="8">
        <v>28.0</v>
      </c>
      <c r="F283" s="8">
        <v>9078.0</v>
      </c>
      <c r="G283" s="10">
        <f t="shared" ref="G283:G343" si="8">F283/6</f>
        <v>1513</v>
      </c>
      <c r="H283" s="10">
        <v>2019.0</v>
      </c>
      <c r="I283" s="11">
        <f t="shared" si="1"/>
        <v>907.8</v>
      </c>
      <c r="J283" s="12">
        <v>0.8333333333333334</v>
      </c>
    </row>
    <row r="284">
      <c r="A284" s="6" t="s">
        <v>141</v>
      </c>
      <c r="B284" s="7" t="s">
        <v>11</v>
      </c>
      <c r="C284" s="7" t="s">
        <v>15</v>
      </c>
      <c r="D284" s="7" t="s">
        <v>16</v>
      </c>
      <c r="E284" s="8">
        <v>29.0</v>
      </c>
      <c r="F284" s="8">
        <v>9098.0</v>
      </c>
      <c r="G284" s="10">
        <f t="shared" si="8"/>
        <v>1516.333333</v>
      </c>
      <c r="H284" s="10">
        <v>2019.0</v>
      </c>
      <c r="I284" s="11">
        <f t="shared" si="1"/>
        <v>909.8</v>
      </c>
      <c r="J284" s="12">
        <v>0.8333333333333334</v>
      </c>
    </row>
    <row r="285">
      <c r="A285" s="6" t="s">
        <v>142</v>
      </c>
      <c r="B285" s="7" t="s">
        <v>14</v>
      </c>
      <c r="C285" s="7" t="s">
        <v>18</v>
      </c>
      <c r="D285" s="7" t="s">
        <v>19</v>
      </c>
      <c r="E285" s="8">
        <v>29.0</v>
      </c>
      <c r="F285" s="8">
        <v>9118.0</v>
      </c>
      <c r="G285" s="10">
        <f t="shared" si="8"/>
        <v>1519.666667</v>
      </c>
      <c r="H285" s="10">
        <v>2019.0</v>
      </c>
      <c r="I285" s="11">
        <f t="shared" si="1"/>
        <v>911.8</v>
      </c>
      <c r="J285" s="12">
        <v>0.8333333333333333</v>
      </c>
    </row>
    <row r="286">
      <c r="A286" s="6" t="s">
        <v>143</v>
      </c>
      <c r="B286" s="7" t="s">
        <v>17</v>
      </c>
      <c r="C286" s="7" t="s">
        <v>12</v>
      </c>
      <c r="D286" s="7" t="s">
        <v>13</v>
      </c>
      <c r="E286" s="8">
        <v>29.0</v>
      </c>
      <c r="F286" s="8">
        <v>9138.0</v>
      </c>
      <c r="G286" s="10">
        <f t="shared" si="8"/>
        <v>1523</v>
      </c>
      <c r="H286" s="10">
        <v>2019.0</v>
      </c>
      <c r="I286" s="11">
        <f t="shared" si="1"/>
        <v>913.8</v>
      </c>
      <c r="J286" s="12">
        <v>0.8333333333333334</v>
      </c>
    </row>
    <row r="287">
      <c r="A287" s="6" t="s">
        <v>144</v>
      </c>
      <c r="B287" s="7" t="s">
        <v>20</v>
      </c>
      <c r="C287" s="7" t="s">
        <v>15</v>
      </c>
      <c r="D287" s="7" t="s">
        <v>16</v>
      </c>
      <c r="E287" s="8">
        <v>29.0</v>
      </c>
      <c r="F287" s="8">
        <v>9158.0</v>
      </c>
      <c r="G287" s="10">
        <f t="shared" si="8"/>
        <v>1526.333333</v>
      </c>
      <c r="H287" s="10">
        <v>2019.0</v>
      </c>
      <c r="I287" s="11">
        <f t="shared" si="1"/>
        <v>915.8</v>
      </c>
      <c r="J287" s="12">
        <v>0.8333333333333334</v>
      </c>
    </row>
    <row r="288">
      <c r="A288" s="6" t="s">
        <v>145</v>
      </c>
      <c r="B288" s="7" t="s">
        <v>21</v>
      </c>
      <c r="C288" s="7" t="s">
        <v>18</v>
      </c>
      <c r="D288" s="7" t="s">
        <v>19</v>
      </c>
      <c r="E288" s="8">
        <v>29.0</v>
      </c>
      <c r="F288" s="8">
        <v>9178.0</v>
      </c>
      <c r="G288" s="10">
        <f t="shared" si="8"/>
        <v>1529.666667</v>
      </c>
      <c r="H288" s="10">
        <v>2019.0</v>
      </c>
      <c r="I288" s="11">
        <f t="shared" si="1"/>
        <v>917.8</v>
      </c>
      <c r="J288" s="12">
        <v>0.8333333333333333</v>
      </c>
    </row>
    <row r="289">
      <c r="A289" s="6" t="s">
        <v>146</v>
      </c>
      <c r="B289" s="7" t="s">
        <v>11</v>
      </c>
      <c r="C289" s="7" t="s">
        <v>12</v>
      </c>
      <c r="D289" s="7" t="s">
        <v>13</v>
      </c>
      <c r="E289" s="8">
        <v>29.0</v>
      </c>
      <c r="F289" s="8">
        <v>9198.0</v>
      </c>
      <c r="G289" s="10">
        <f t="shared" si="8"/>
        <v>1533</v>
      </c>
      <c r="H289" s="10">
        <v>2019.0</v>
      </c>
      <c r="I289" s="11">
        <f t="shared" si="1"/>
        <v>919.8</v>
      </c>
      <c r="J289" s="12">
        <v>0.8333333333333334</v>
      </c>
    </row>
    <row r="290">
      <c r="A290" s="6" t="s">
        <v>147</v>
      </c>
      <c r="B290" s="7" t="s">
        <v>14</v>
      </c>
      <c r="C290" s="7" t="s">
        <v>15</v>
      </c>
      <c r="D290" s="7" t="s">
        <v>25</v>
      </c>
      <c r="E290" s="8">
        <v>29.0</v>
      </c>
      <c r="F290" s="8">
        <v>9218.0</v>
      </c>
      <c r="G290" s="10">
        <f t="shared" si="8"/>
        <v>1536.333333</v>
      </c>
      <c r="H290" s="10">
        <v>2019.0</v>
      </c>
      <c r="I290" s="11">
        <f t="shared" si="1"/>
        <v>921.8</v>
      </c>
      <c r="J290" s="12">
        <v>0.8333333333333334</v>
      </c>
    </row>
    <row r="291">
      <c r="A291" s="6" t="s">
        <v>148</v>
      </c>
      <c r="B291" s="7" t="s">
        <v>17</v>
      </c>
      <c r="C291" s="7" t="s">
        <v>18</v>
      </c>
      <c r="D291" s="7" t="s">
        <v>16</v>
      </c>
      <c r="E291" s="8">
        <v>29.0</v>
      </c>
      <c r="F291" s="8">
        <v>9238.0</v>
      </c>
      <c r="G291" s="10">
        <f t="shared" si="8"/>
        <v>1539.666667</v>
      </c>
      <c r="H291" s="10">
        <v>2019.0</v>
      </c>
      <c r="I291" s="11">
        <f t="shared" si="1"/>
        <v>923.8</v>
      </c>
      <c r="J291" s="12">
        <v>0.8333333333333333</v>
      </c>
    </row>
    <row r="292">
      <c r="A292" s="6" t="s">
        <v>149</v>
      </c>
      <c r="B292" s="7" t="s">
        <v>20</v>
      </c>
      <c r="C292" s="7" t="s">
        <v>12</v>
      </c>
      <c r="D292" s="7" t="s">
        <v>19</v>
      </c>
      <c r="E292" s="8">
        <v>29.0</v>
      </c>
      <c r="F292" s="8">
        <v>9258.0</v>
      </c>
      <c r="G292" s="10">
        <f t="shared" si="8"/>
        <v>1543</v>
      </c>
      <c r="H292" s="10">
        <v>2019.0</v>
      </c>
      <c r="I292" s="11">
        <f t="shared" si="1"/>
        <v>925.8</v>
      </c>
      <c r="J292" s="12">
        <v>0.8333333333333334</v>
      </c>
    </row>
    <row r="293">
      <c r="A293" s="13">
        <v>43476.0</v>
      </c>
      <c r="B293" s="7" t="s">
        <v>21</v>
      </c>
      <c r="C293" s="7" t="s">
        <v>15</v>
      </c>
      <c r="D293" s="7" t="s">
        <v>13</v>
      </c>
      <c r="E293" s="8">
        <v>29.0</v>
      </c>
      <c r="F293" s="8">
        <v>9278.0</v>
      </c>
      <c r="G293" s="10">
        <f t="shared" si="8"/>
        <v>1546.333333</v>
      </c>
      <c r="H293" s="10">
        <v>2019.0</v>
      </c>
      <c r="I293" s="11">
        <f t="shared" si="1"/>
        <v>927.8</v>
      </c>
      <c r="J293" s="12">
        <v>0.8333333333333334</v>
      </c>
    </row>
    <row r="294">
      <c r="A294" s="13">
        <v>43507.0</v>
      </c>
      <c r="B294" s="7" t="s">
        <v>11</v>
      </c>
      <c r="C294" s="7" t="s">
        <v>18</v>
      </c>
      <c r="D294" s="7" t="s">
        <v>16</v>
      </c>
      <c r="E294" s="8">
        <v>29.0</v>
      </c>
      <c r="F294" s="8">
        <v>9298.0</v>
      </c>
      <c r="G294" s="10">
        <f t="shared" si="8"/>
        <v>1549.666667</v>
      </c>
      <c r="H294" s="10">
        <v>2019.0</v>
      </c>
      <c r="I294" s="11">
        <f t="shared" si="1"/>
        <v>929.8</v>
      </c>
      <c r="J294" s="12">
        <v>0.8333333333333333</v>
      </c>
    </row>
    <row r="295">
      <c r="A295" s="13">
        <v>43535.0</v>
      </c>
      <c r="B295" s="7" t="s">
        <v>14</v>
      </c>
      <c r="C295" s="7" t="s">
        <v>12</v>
      </c>
      <c r="D295" s="7" t="s">
        <v>19</v>
      </c>
      <c r="E295" s="8">
        <v>29.0</v>
      </c>
      <c r="F295" s="8">
        <v>9318.0</v>
      </c>
      <c r="G295" s="10">
        <f t="shared" si="8"/>
        <v>1553</v>
      </c>
      <c r="H295" s="10">
        <v>2019.0</v>
      </c>
      <c r="I295" s="11">
        <f t="shared" si="1"/>
        <v>931.8</v>
      </c>
      <c r="J295" s="12">
        <v>0.8333333333333334</v>
      </c>
    </row>
    <row r="296">
      <c r="A296" s="13">
        <v>43566.0</v>
      </c>
      <c r="B296" s="7" t="s">
        <v>17</v>
      </c>
      <c r="C296" s="7" t="s">
        <v>15</v>
      </c>
      <c r="D296" s="7" t="s">
        <v>13</v>
      </c>
      <c r="E296" s="8">
        <v>29.0</v>
      </c>
      <c r="F296" s="8">
        <v>9338.0</v>
      </c>
      <c r="G296" s="10">
        <f t="shared" si="8"/>
        <v>1556.333333</v>
      </c>
      <c r="H296" s="10">
        <v>2019.0</v>
      </c>
      <c r="I296" s="11">
        <f t="shared" si="1"/>
        <v>933.8</v>
      </c>
      <c r="J296" s="12">
        <v>0.8333333333333334</v>
      </c>
    </row>
    <row r="297">
      <c r="A297" s="13">
        <v>43596.0</v>
      </c>
      <c r="B297" s="7" t="s">
        <v>20</v>
      </c>
      <c r="C297" s="7" t="s">
        <v>18</v>
      </c>
      <c r="D297" s="7" t="s">
        <v>25</v>
      </c>
      <c r="E297" s="8">
        <v>30.0</v>
      </c>
      <c r="F297" s="8">
        <v>9358.0</v>
      </c>
      <c r="G297" s="10">
        <f t="shared" si="8"/>
        <v>1559.666667</v>
      </c>
      <c r="H297" s="10">
        <v>2019.0</v>
      </c>
      <c r="I297" s="11">
        <f t="shared" si="1"/>
        <v>935.8</v>
      </c>
      <c r="J297" s="12">
        <v>0.8333333333333333</v>
      </c>
    </row>
    <row r="298">
      <c r="A298" s="13">
        <v>43627.0</v>
      </c>
      <c r="B298" s="7" t="s">
        <v>21</v>
      </c>
      <c r="C298" s="7" t="s">
        <v>12</v>
      </c>
      <c r="D298" s="7" t="s">
        <v>16</v>
      </c>
      <c r="E298" s="8">
        <v>30.0</v>
      </c>
      <c r="F298" s="8">
        <v>9378.0</v>
      </c>
      <c r="G298" s="10">
        <f t="shared" si="8"/>
        <v>1563</v>
      </c>
      <c r="H298" s="10">
        <v>2019.0</v>
      </c>
      <c r="I298" s="11">
        <f t="shared" si="1"/>
        <v>937.8</v>
      </c>
      <c r="J298" s="12">
        <v>0.8333333333333334</v>
      </c>
    </row>
    <row r="299">
      <c r="A299" s="13">
        <v>43657.0</v>
      </c>
      <c r="B299" s="7" t="s">
        <v>11</v>
      </c>
      <c r="C299" s="7" t="s">
        <v>15</v>
      </c>
      <c r="D299" s="7" t="s">
        <v>19</v>
      </c>
      <c r="E299" s="8">
        <v>30.0</v>
      </c>
      <c r="F299" s="8">
        <v>9398.0</v>
      </c>
      <c r="G299" s="10">
        <f t="shared" si="8"/>
        <v>1566.333333</v>
      </c>
      <c r="H299" s="10">
        <v>2019.0</v>
      </c>
      <c r="I299" s="11">
        <f t="shared" si="1"/>
        <v>939.8</v>
      </c>
      <c r="J299" s="12">
        <v>0.8333333333333334</v>
      </c>
    </row>
    <row r="300">
      <c r="A300" s="13">
        <v>43688.0</v>
      </c>
      <c r="B300" s="7" t="s">
        <v>14</v>
      </c>
      <c r="C300" s="7" t="s">
        <v>18</v>
      </c>
      <c r="D300" s="7" t="s">
        <v>13</v>
      </c>
      <c r="E300" s="8">
        <v>30.0</v>
      </c>
      <c r="F300" s="8">
        <v>9418.0</v>
      </c>
      <c r="G300" s="10">
        <f t="shared" si="8"/>
        <v>1569.666667</v>
      </c>
      <c r="H300" s="10">
        <v>2019.0</v>
      </c>
      <c r="I300" s="11">
        <f t="shared" si="1"/>
        <v>941.8</v>
      </c>
      <c r="J300" s="12">
        <v>0.8333333333333333</v>
      </c>
    </row>
    <row r="301">
      <c r="A301" s="13">
        <v>43719.0</v>
      </c>
      <c r="B301" s="7" t="s">
        <v>17</v>
      </c>
      <c r="C301" s="7" t="s">
        <v>12</v>
      </c>
      <c r="D301" s="7" t="s">
        <v>16</v>
      </c>
      <c r="E301" s="8">
        <v>30.0</v>
      </c>
      <c r="F301" s="8">
        <v>9439.0</v>
      </c>
      <c r="G301" s="10">
        <f t="shared" si="8"/>
        <v>1573.166667</v>
      </c>
      <c r="H301" s="10">
        <v>2019.0</v>
      </c>
      <c r="I301" s="11">
        <f t="shared" si="1"/>
        <v>943.9</v>
      </c>
      <c r="J301" s="12">
        <v>0.8333333333333333</v>
      </c>
    </row>
    <row r="302">
      <c r="A302" s="14">
        <v>43749.0</v>
      </c>
      <c r="B302" s="7" t="s">
        <v>20</v>
      </c>
      <c r="C302" s="7" t="s">
        <v>15</v>
      </c>
      <c r="D302" s="7" t="s">
        <v>19</v>
      </c>
      <c r="E302" s="8">
        <v>30.0</v>
      </c>
      <c r="F302" s="8">
        <v>9459.0</v>
      </c>
      <c r="G302" s="10">
        <f t="shared" si="8"/>
        <v>1576.5</v>
      </c>
      <c r="H302" s="10">
        <v>2019.0</v>
      </c>
      <c r="I302" s="11">
        <f t="shared" si="1"/>
        <v>945.9</v>
      </c>
      <c r="J302" s="12">
        <v>0.8333333333333334</v>
      </c>
    </row>
    <row r="303">
      <c r="A303" s="14">
        <v>43780.0</v>
      </c>
      <c r="B303" s="7" t="s">
        <v>21</v>
      </c>
      <c r="C303" s="7" t="s">
        <v>18</v>
      </c>
      <c r="D303" s="7" t="s">
        <v>13</v>
      </c>
      <c r="E303" s="8">
        <v>30.0</v>
      </c>
      <c r="F303" s="8">
        <v>9479.0</v>
      </c>
      <c r="G303" s="10">
        <f t="shared" si="8"/>
        <v>1579.833333</v>
      </c>
      <c r="H303" s="10">
        <v>2019.0</v>
      </c>
      <c r="I303" s="11">
        <f t="shared" si="1"/>
        <v>947.9</v>
      </c>
      <c r="J303" s="12">
        <v>0.8333333333333334</v>
      </c>
    </row>
    <row r="304">
      <c r="A304" s="14">
        <v>43810.0</v>
      </c>
      <c r="B304" s="7" t="s">
        <v>11</v>
      </c>
      <c r="C304" s="7" t="s">
        <v>12</v>
      </c>
      <c r="D304" s="7" t="s">
        <v>25</v>
      </c>
      <c r="E304" s="8">
        <v>30.0</v>
      </c>
      <c r="F304" s="8">
        <v>9499.0</v>
      </c>
      <c r="G304" s="10">
        <f t="shared" si="8"/>
        <v>1583.166667</v>
      </c>
      <c r="H304" s="10">
        <v>2019.0</v>
      </c>
      <c r="I304" s="11">
        <f t="shared" si="1"/>
        <v>949.9</v>
      </c>
      <c r="J304" s="12">
        <v>0.8333333333333333</v>
      </c>
    </row>
    <row r="305">
      <c r="A305" s="6" t="s">
        <v>150</v>
      </c>
      <c r="B305" s="7" t="s">
        <v>14</v>
      </c>
      <c r="C305" s="7" t="s">
        <v>15</v>
      </c>
      <c r="D305" s="7" t="s">
        <v>16</v>
      </c>
      <c r="E305" s="8">
        <v>30.0</v>
      </c>
      <c r="F305" s="8">
        <v>9519.0</v>
      </c>
      <c r="G305" s="10">
        <f t="shared" si="8"/>
        <v>1586.5</v>
      </c>
      <c r="H305" s="10">
        <v>2019.0</v>
      </c>
      <c r="I305" s="11">
        <f t="shared" si="1"/>
        <v>951.9</v>
      </c>
      <c r="J305" s="12">
        <v>0.8333333333333334</v>
      </c>
    </row>
    <row r="306">
      <c r="A306" s="6" t="s">
        <v>151</v>
      </c>
      <c r="B306" s="7" t="s">
        <v>17</v>
      </c>
      <c r="C306" s="7" t="s">
        <v>18</v>
      </c>
      <c r="D306" s="7" t="s">
        <v>19</v>
      </c>
      <c r="E306" s="8">
        <v>30.0</v>
      </c>
      <c r="F306" s="8">
        <v>9539.0</v>
      </c>
      <c r="G306" s="10">
        <f t="shared" si="8"/>
        <v>1589.833333</v>
      </c>
      <c r="H306" s="10">
        <v>2019.0</v>
      </c>
      <c r="I306" s="11">
        <f t="shared" si="1"/>
        <v>953.9</v>
      </c>
      <c r="J306" s="12">
        <v>0.8333333333333334</v>
      </c>
    </row>
    <row r="307">
      <c r="A307" s="6" t="s">
        <v>152</v>
      </c>
      <c r="B307" s="7" t="s">
        <v>20</v>
      </c>
      <c r="C307" s="7" t="s">
        <v>12</v>
      </c>
      <c r="D307" s="7" t="s">
        <v>13</v>
      </c>
      <c r="E307" s="8">
        <v>30.0</v>
      </c>
      <c r="F307" s="8">
        <v>9559.0</v>
      </c>
      <c r="G307" s="10">
        <f t="shared" si="8"/>
        <v>1593.166667</v>
      </c>
      <c r="H307" s="10">
        <v>2019.0</v>
      </c>
      <c r="I307" s="11">
        <f t="shared" si="1"/>
        <v>955.9</v>
      </c>
      <c r="J307" s="12">
        <v>0.8333333333333333</v>
      </c>
    </row>
    <row r="308">
      <c r="A308" s="6" t="s">
        <v>153</v>
      </c>
      <c r="B308" s="7" t="s">
        <v>11</v>
      </c>
      <c r="C308" s="7" t="s">
        <v>12</v>
      </c>
      <c r="D308" s="7" t="s">
        <v>13</v>
      </c>
      <c r="E308" s="8">
        <v>30.0</v>
      </c>
      <c r="F308" s="8">
        <v>9579.0</v>
      </c>
      <c r="G308" s="10">
        <f t="shared" si="8"/>
        <v>1596.5</v>
      </c>
      <c r="H308" s="10">
        <v>2019.0</v>
      </c>
      <c r="I308" s="11">
        <f t="shared" si="1"/>
        <v>957.9</v>
      </c>
      <c r="J308" s="12">
        <v>0.8333333333333334</v>
      </c>
    </row>
    <row r="309">
      <c r="A309" s="6" t="s">
        <v>154</v>
      </c>
      <c r="B309" s="7" t="s">
        <v>14</v>
      </c>
      <c r="C309" s="7" t="s">
        <v>15</v>
      </c>
      <c r="D309" s="7" t="s">
        <v>16</v>
      </c>
      <c r="E309" s="8">
        <v>31.0</v>
      </c>
      <c r="F309" s="8">
        <v>9599.0</v>
      </c>
      <c r="G309" s="10">
        <f t="shared" si="8"/>
        <v>1599.833333</v>
      </c>
      <c r="H309" s="10">
        <v>2019.0</v>
      </c>
      <c r="I309" s="11">
        <f t="shared" si="1"/>
        <v>959.9</v>
      </c>
      <c r="J309" s="12">
        <v>0.8333333333333334</v>
      </c>
    </row>
    <row r="310">
      <c r="A310" s="6" t="s">
        <v>155</v>
      </c>
      <c r="B310" s="7" t="s">
        <v>17</v>
      </c>
      <c r="C310" s="7" t="s">
        <v>18</v>
      </c>
      <c r="D310" s="7" t="s">
        <v>19</v>
      </c>
      <c r="E310" s="8">
        <v>31.0</v>
      </c>
      <c r="F310" s="8">
        <v>9619.0</v>
      </c>
      <c r="G310" s="10">
        <f t="shared" si="8"/>
        <v>1603.166667</v>
      </c>
      <c r="H310" s="10">
        <v>2019.0</v>
      </c>
      <c r="I310" s="11">
        <f t="shared" si="1"/>
        <v>961.9</v>
      </c>
      <c r="J310" s="12">
        <v>0.8333333333333333</v>
      </c>
    </row>
    <row r="311">
      <c r="A311" s="6" t="s">
        <v>156</v>
      </c>
      <c r="B311" s="7" t="s">
        <v>20</v>
      </c>
      <c r="C311" s="7" t="s">
        <v>12</v>
      </c>
      <c r="D311" s="7" t="s">
        <v>13</v>
      </c>
      <c r="E311" s="8">
        <v>31.0</v>
      </c>
      <c r="F311" s="8">
        <v>9639.0</v>
      </c>
      <c r="G311" s="10">
        <f t="shared" si="8"/>
        <v>1606.5</v>
      </c>
      <c r="H311" s="10">
        <v>2019.0</v>
      </c>
      <c r="I311" s="11">
        <f t="shared" si="1"/>
        <v>963.9</v>
      </c>
      <c r="J311" s="12">
        <v>0.8333333333333334</v>
      </c>
    </row>
    <row r="312">
      <c r="A312" s="6" t="s">
        <v>157</v>
      </c>
      <c r="B312" s="7" t="s">
        <v>21</v>
      </c>
      <c r="C312" s="7" t="s">
        <v>15</v>
      </c>
      <c r="D312" s="7" t="s">
        <v>13</v>
      </c>
      <c r="E312" s="8">
        <v>31.0</v>
      </c>
      <c r="F312" s="8">
        <v>9659.0</v>
      </c>
      <c r="G312" s="10">
        <f t="shared" si="8"/>
        <v>1609.833333</v>
      </c>
      <c r="H312" s="10">
        <v>2019.0</v>
      </c>
      <c r="I312" s="11">
        <f t="shared" si="1"/>
        <v>965.9</v>
      </c>
      <c r="J312" s="12">
        <v>0.8333333333333334</v>
      </c>
    </row>
    <row r="313">
      <c r="A313" s="6" t="s">
        <v>158</v>
      </c>
      <c r="B313" s="7" t="s">
        <v>11</v>
      </c>
      <c r="C313" s="7" t="s">
        <v>18</v>
      </c>
      <c r="D313" s="7" t="s">
        <v>16</v>
      </c>
      <c r="E313" s="8">
        <v>31.0</v>
      </c>
      <c r="F313" s="8">
        <v>9679.0</v>
      </c>
      <c r="G313" s="10">
        <f t="shared" si="8"/>
        <v>1613.166667</v>
      </c>
      <c r="H313" s="10">
        <v>2019.0</v>
      </c>
      <c r="I313" s="11">
        <f t="shared" si="1"/>
        <v>967.9</v>
      </c>
      <c r="J313" s="12">
        <v>0.8333333333333333</v>
      </c>
    </row>
    <row r="314">
      <c r="A314" s="6" t="s">
        <v>159</v>
      </c>
      <c r="B314" s="7" t="s">
        <v>14</v>
      </c>
      <c r="C314" s="7" t="s">
        <v>12</v>
      </c>
      <c r="D314" s="7" t="s">
        <v>19</v>
      </c>
      <c r="E314" s="8">
        <v>31.0</v>
      </c>
      <c r="F314" s="8">
        <v>9699.0</v>
      </c>
      <c r="G314" s="10">
        <f t="shared" si="8"/>
        <v>1616.5</v>
      </c>
      <c r="H314" s="10">
        <v>2019.0</v>
      </c>
      <c r="I314" s="11">
        <f t="shared" si="1"/>
        <v>969.9</v>
      </c>
      <c r="J314" s="12">
        <v>0.8333333333333334</v>
      </c>
    </row>
    <row r="315">
      <c r="A315" s="6" t="s">
        <v>160</v>
      </c>
      <c r="B315" s="7" t="s">
        <v>17</v>
      </c>
      <c r="C315" s="7" t="s">
        <v>15</v>
      </c>
      <c r="D315" s="7" t="s">
        <v>16</v>
      </c>
      <c r="E315" s="8">
        <v>31.0</v>
      </c>
      <c r="F315" s="8">
        <v>9719.0</v>
      </c>
      <c r="G315" s="10">
        <f t="shared" si="8"/>
        <v>1619.833333</v>
      </c>
      <c r="H315" s="10">
        <v>2019.0</v>
      </c>
      <c r="I315" s="11">
        <f t="shared" si="1"/>
        <v>971.9</v>
      </c>
      <c r="J315" s="12">
        <v>0.8333333333333334</v>
      </c>
    </row>
    <row r="316">
      <c r="A316" s="6" t="s">
        <v>161</v>
      </c>
      <c r="B316" s="7" t="s">
        <v>20</v>
      </c>
      <c r="C316" s="7" t="s">
        <v>18</v>
      </c>
      <c r="D316" s="7" t="s">
        <v>16</v>
      </c>
      <c r="E316" s="8">
        <v>31.0</v>
      </c>
      <c r="F316" s="8">
        <v>9739.0</v>
      </c>
      <c r="G316" s="10">
        <f t="shared" si="8"/>
        <v>1623.166667</v>
      </c>
      <c r="H316" s="10">
        <v>2019.0</v>
      </c>
      <c r="I316" s="11">
        <f t="shared" si="1"/>
        <v>973.9</v>
      </c>
      <c r="J316" s="12">
        <v>0.8333333333333333</v>
      </c>
    </row>
    <row r="317">
      <c r="A317" s="6" t="s">
        <v>162</v>
      </c>
      <c r="B317" s="7" t="s">
        <v>21</v>
      </c>
      <c r="C317" s="7" t="s">
        <v>12</v>
      </c>
      <c r="D317" s="7" t="s">
        <v>25</v>
      </c>
      <c r="E317" s="8">
        <v>31.0</v>
      </c>
      <c r="F317" s="8">
        <v>9759.0</v>
      </c>
      <c r="G317" s="10">
        <f t="shared" si="8"/>
        <v>1626.5</v>
      </c>
      <c r="H317" s="10">
        <v>2019.0</v>
      </c>
      <c r="I317" s="11">
        <f t="shared" si="1"/>
        <v>975.9</v>
      </c>
      <c r="J317" s="12">
        <v>0.8333333333333334</v>
      </c>
    </row>
    <row r="318">
      <c r="A318" s="6" t="s">
        <v>163</v>
      </c>
      <c r="B318" s="7" t="s">
        <v>11</v>
      </c>
      <c r="C318" s="7" t="s">
        <v>15</v>
      </c>
      <c r="D318" s="7" t="s">
        <v>16</v>
      </c>
      <c r="E318" s="8">
        <v>31.0</v>
      </c>
      <c r="F318" s="8">
        <v>9779.0</v>
      </c>
      <c r="G318" s="10">
        <f t="shared" si="8"/>
        <v>1629.833333</v>
      </c>
      <c r="H318" s="10">
        <v>2019.0</v>
      </c>
      <c r="I318" s="11">
        <f t="shared" si="1"/>
        <v>977.9</v>
      </c>
      <c r="J318" s="12">
        <v>0.8333333333333334</v>
      </c>
    </row>
    <row r="319">
      <c r="A319" s="6" t="s">
        <v>164</v>
      </c>
      <c r="B319" s="7" t="s">
        <v>14</v>
      </c>
      <c r="C319" s="7" t="s">
        <v>18</v>
      </c>
      <c r="D319" s="7" t="s">
        <v>19</v>
      </c>
      <c r="E319" s="8">
        <v>31.0</v>
      </c>
      <c r="F319" s="8">
        <v>9799.0</v>
      </c>
      <c r="G319" s="10">
        <f t="shared" si="8"/>
        <v>1633.166667</v>
      </c>
      <c r="H319" s="10">
        <v>2019.0</v>
      </c>
      <c r="I319" s="11">
        <f t="shared" si="1"/>
        <v>979.9</v>
      </c>
      <c r="J319" s="12">
        <v>0.8333333333333333</v>
      </c>
    </row>
    <row r="320">
      <c r="A320" s="6" t="s">
        <v>165</v>
      </c>
      <c r="B320" s="7" t="s">
        <v>17</v>
      </c>
      <c r="C320" s="7" t="s">
        <v>12</v>
      </c>
      <c r="D320" s="7" t="s">
        <v>13</v>
      </c>
      <c r="E320" s="8">
        <v>31.0</v>
      </c>
      <c r="F320" s="8">
        <v>9819.0</v>
      </c>
      <c r="G320" s="10">
        <f t="shared" si="8"/>
        <v>1636.5</v>
      </c>
      <c r="H320" s="10">
        <v>2019.0</v>
      </c>
      <c r="I320" s="11">
        <f t="shared" si="1"/>
        <v>981.9</v>
      </c>
      <c r="J320" s="12">
        <v>0.8333333333333334</v>
      </c>
    </row>
    <row r="321">
      <c r="A321" s="6" t="s">
        <v>166</v>
      </c>
      <c r="B321" s="7" t="s">
        <v>20</v>
      </c>
      <c r="C321" s="7" t="s">
        <v>15</v>
      </c>
      <c r="D321" s="7" t="s">
        <v>16</v>
      </c>
      <c r="E321" s="8">
        <v>32.0</v>
      </c>
      <c r="F321" s="8">
        <v>9839.0</v>
      </c>
      <c r="G321" s="10">
        <f t="shared" si="8"/>
        <v>1639.833333</v>
      </c>
      <c r="H321" s="10">
        <v>2019.0</v>
      </c>
      <c r="I321" s="11">
        <f t="shared" si="1"/>
        <v>983.9</v>
      </c>
      <c r="J321" s="12">
        <v>0.8333333333333333</v>
      </c>
    </row>
    <row r="322">
      <c r="A322" s="6" t="s">
        <v>167</v>
      </c>
      <c r="B322" s="7" t="s">
        <v>21</v>
      </c>
      <c r="C322" s="7" t="s">
        <v>18</v>
      </c>
      <c r="D322" s="7" t="s">
        <v>19</v>
      </c>
      <c r="E322" s="8">
        <v>32.0</v>
      </c>
      <c r="F322" s="8">
        <v>9859.0</v>
      </c>
      <c r="G322" s="10">
        <f t="shared" si="8"/>
        <v>1643.166667</v>
      </c>
      <c r="H322" s="10">
        <v>2019.0</v>
      </c>
      <c r="I322" s="11">
        <f t="shared" si="1"/>
        <v>985.9</v>
      </c>
      <c r="J322" s="12">
        <v>0.8333333333333334</v>
      </c>
    </row>
    <row r="323">
      <c r="A323" s="13">
        <v>43477.0</v>
      </c>
      <c r="B323" s="7" t="s">
        <v>11</v>
      </c>
      <c r="C323" s="7" t="s">
        <v>12</v>
      </c>
      <c r="D323" s="7" t="s">
        <v>13</v>
      </c>
      <c r="E323" s="8">
        <v>32.0</v>
      </c>
      <c r="F323" s="8">
        <v>9879.0</v>
      </c>
      <c r="G323" s="10">
        <f t="shared" si="8"/>
        <v>1646.5</v>
      </c>
      <c r="H323" s="10">
        <v>2019.0</v>
      </c>
      <c r="I323" s="11">
        <f t="shared" si="1"/>
        <v>987.9</v>
      </c>
      <c r="J323" s="12">
        <v>0.8333333333333334</v>
      </c>
    </row>
    <row r="324">
      <c r="A324" s="13">
        <v>43508.0</v>
      </c>
      <c r="B324" s="7" t="s">
        <v>14</v>
      </c>
      <c r="C324" s="7" t="s">
        <v>15</v>
      </c>
      <c r="D324" s="7" t="s">
        <v>25</v>
      </c>
      <c r="E324" s="8">
        <v>32.0</v>
      </c>
      <c r="F324" s="8">
        <v>9899.0</v>
      </c>
      <c r="G324" s="10">
        <f t="shared" si="8"/>
        <v>1649.833333</v>
      </c>
      <c r="H324" s="10">
        <v>2019.0</v>
      </c>
      <c r="I324" s="11">
        <f t="shared" si="1"/>
        <v>989.9</v>
      </c>
      <c r="J324" s="12">
        <v>0.8333333333333333</v>
      </c>
    </row>
    <row r="325">
      <c r="A325" s="13">
        <v>43536.0</v>
      </c>
      <c r="B325" s="7" t="s">
        <v>17</v>
      </c>
      <c r="C325" s="7" t="s">
        <v>18</v>
      </c>
      <c r="D325" s="7" t="s">
        <v>16</v>
      </c>
      <c r="E325" s="8">
        <v>32.0</v>
      </c>
      <c r="F325" s="8">
        <v>9919.0</v>
      </c>
      <c r="G325" s="10">
        <f t="shared" si="8"/>
        <v>1653.166667</v>
      </c>
      <c r="H325" s="10">
        <v>2019.0</v>
      </c>
      <c r="I325" s="11">
        <f t="shared" si="1"/>
        <v>991.9</v>
      </c>
      <c r="J325" s="12">
        <v>0.8333333333333334</v>
      </c>
    </row>
    <row r="326">
      <c r="A326" s="13">
        <v>43567.0</v>
      </c>
      <c r="B326" s="7" t="s">
        <v>20</v>
      </c>
      <c r="C326" s="7" t="s">
        <v>12</v>
      </c>
      <c r="D326" s="7" t="s">
        <v>19</v>
      </c>
      <c r="E326" s="8">
        <v>32.0</v>
      </c>
      <c r="F326" s="8">
        <v>9939.0</v>
      </c>
      <c r="G326" s="10">
        <f t="shared" si="8"/>
        <v>1656.5</v>
      </c>
      <c r="H326" s="10">
        <v>2019.0</v>
      </c>
      <c r="I326" s="11">
        <f t="shared" si="1"/>
        <v>993.9</v>
      </c>
      <c r="J326" s="12">
        <v>0.8333333333333334</v>
      </c>
    </row>
    <row r="327">
      <c r="A327" s="13">
        <v>43597.0</v>
      </c>
      <c r="B327" s="7" t="s">
        <v>21</v>
      </c>
      <c r="C327" s="7" t="s">
        <v>15</v>
      </c>
      <c r="D327" s="7" t="s">
        <v>13</v>
      </c>
      <c r="E327" s="8">
        <v>32.0</v>
      </c>
      <c r="F327" s="8">
        <v>9959.0</v>
      </c>
      <c r="G327" s="10">
        <f t="shared" si="8"/>
        <v>1659.833333</v>
      </c>
      <c r="H327" s="10">
        <v>2019.0</v>
      </c>
      <c r="I327" s="11">
        <f t="shared" si="1"/>
        <v>995.9</v>
      </c>
      <c r="J327" s="12">
        <v>0.8333333333333333</v>
      </c>
    </row>
    <row r="328">
      <c r="A328" s="13">
        <v>43628.0</v>
      </c>
      <c r="B328" s="7" t="s">
        <v>11</v>
      </c>
      <c r="C328" s="7" t="s">
        <v>18</v>
      </c>
      <c r="D328" s="7" t="s">
        <v>16</v>
      </c>
      <c r="E328" s="8">
        <v>32.0</v>
      </c>
      <c r="F328" s="8">
        <v>9979.0</v>
      </c>
      <c r="G328" s="10">
        <f t="shared" si="8"/>
        <v>1663.166667</v>
      </c>
      <c r="H328" s="10">
        <v>2019.0</v>
      </c>
      <c r="I328" s="11">
        <f t="shared" si="1"/>
        <v>997.9</v>
      </c>
      <c r="J328" s="12">
        <v>0.8333333333333334</v>
      </c>
    </row>
    <row r="329">
      <c r="A329" s="13">
        <v>43658.0</v>
      </c>
      <c r="B329" s="7" t="s">
        <v>14</v>
      </c>
      <c r="C329" s="7" t="s">
        <v>12</v>
      </c>
      <c r="D329" s="7" t="s">
        <v>19</v>
      </c>
      <c r="E329" s="8">
        <v>32.0</v>
      </c>
      <c r="F329" s="8">
        <v>9999.0</v>
      </c>
      <c r="G329" s="10">
        <f t="shared" si="8"/>
        <v>1666.5</v>
      </c>
      <c r="H329" s="10">
        <v>2019.0</v>
      </c>
      <c r="I329" s="11">
        <f t="shared" si="1"/>
        <v>999.9</v>
      </c>
      <c r="J329" s="12">
        <v>0.8333333333333334</v>
      </c>
    </row>
    <row r="330">
      <c r="A330" s="13">
        <v>43689.0</v>
      </c>
      <c r="B330" s="7" t="s">
        <v>17</v>
      </c>
      <c r="C330" s="7" t="s">
        <v>15</v>
      </c>
      <c r="D330" s="7" t="s">
        <v>13</v>
      </c>
      <c r="E330" s="8">
        <v>32.0</v>
      </c>
      <c r="F330" s="8">
        <v>10019.0</v>
      </c>
      <c r="G330" s="10">
        <f t="shared" si="8"/>
        <v>1669.833333</v>
      </c>
      <c r="H330" s="10">
        <v>2019.0</v>
      </c>
      <c r="I330" s="11">
        <f t="shared" si="1"/>
        <v>1001.9</v>
      </c>
      <c r="J330" s="12">
        <v>0.8333333333333333</v>
      </c>
    </row>
    <row r="331">
      <c r="A331" s="13">
        <v>43720.0</v>
      </c>
      <c r="B331" s="7" t="s">
        <v>20</v>
      </c>
      <c r="C331" s="7" t="s">
        <v>18</v>
      </c>
      <c r="D331" s="7" t="s">
        <v>25</v>
      </c>
      <c r="E331" s="8">
        <v>32.0</v>
      </c>
      <c r="F331" s="8">
        <v>10039.0</v>
      </c>
      <c r="G331" s="10">
        <f t="shared" si="8"/>
        <v>1673.166667</v>
      </c>
      <c r="H331" s="10">
        <v>2019.0</v>
      </c>
      <c r="I331" s="11">
        <f t="shared" si="1"/>
        <v>1003.9</v>
      </c>
      <c r="J331" s="12">
        <v>0.8333333333333334</v>
      </c>
    </row>
    <row r="332">
      <c r="A332" s="14">
        <v>43750.0</v>
      </c>
      <c r="B332" s="7" t="s">
        <v>21</v>
      </c>
      <c r="C332" s="7" t="s">
        <v>12</v>
      </c>
      <c r="D332" s="7" t="s">
        <v>16</v>
      </c>
      <c r="E332" s="8">
        <v>32.0</v>
      </c>
      <c r="F332" s="8">
        <v>10060.0</v>
      </c>
      <c r="G332" s="10">
        <f t="shared" si="8"/>
        <v>1676.666667</v>
      </c>
      <c r="H332" s="10">
        <v>2019.0</v>
      </c>
      <c r="I332" s="11">
        <f t="shared" si="1"/>
        <v>1006</v>
      </c>
      <c r="J332" s="12">
        <v>0.8333333333333334</v>
      </c>
    </row>
    <row r="333">
      <c r="A333" s="14">
        <v>43781.0</v>
      </c>
      <c r="B333" s="7" t="s">
        <v>11</v>
      </c>
      <c r="C333" s="7" t="s">
        <v>15</v>
      </c>
      <c r="D333" s="7" t="s">
        <v>19</v>
      </c>
      <c r="E333" s="8">
        <v>32.0</v>
      </c>
      <c r="F333" s="8">
        <v>10080.0</v>
      </c>
      <c r="G333" s="10">
        <f t="shared" si="8"/>
        <v>1680</v>
      </c>
      <c r="H333" s="10">
        <v>2019.0</v>
      </c>
      <c r="I333" s="11">
        <f t="shared" si="1"/>
        <v>1008</v>
      </c>
      <c r="J333" s="12">
        <v>0.8333333333333334</v>
      </c>
    </row>
    <row r="334">
      <c r="A334" s="14">
        <v>43811.0</v>
      </c>
      <c r="B334" s="7" t="s">
        <v>14</v>
      </c>
      <c r="C334" s="7" t="s">
        <v>18</v>
      </c>
      <c r="D334" s="7" t="s">
        <v>13</v>
      </c>
      <c r="E334" s="8">
        <v>33.0</v>
      </c>
      <c r="F334" s="8">
        <v>10100.0</v>
      </c>
      <c r="G334" s="10">
        <f t="shared" si="8"/>
        <v>1683.333333</v>
      </c>
      <c r="H334" s="10">
        <v>2019.0</v>
      </c>
      <c r="I334" s="11">
        <f t="shared" si="1"/>
        <v>1010</v>
      </c>
      <c r="J334" s="12">
        <v>0.8333333333333333</v>
      </c>
    </row>
    <row r="335">
      <c r="A335" s="6" t="s">
        <v>168</v>
      </c>
      <c r="B335" s="7" t="s">
        <v>17</v>
      </c>
      <c r="C335" s="7" t="s">
        <v>12</v>
      </c>
      <c r="D335" s="7" t="s">
        <v>16</v>
      </c>
      <c r="E335" s="8">
        <v>33.0</v>
      </c>
      <c r="F335" s="8">
        <v>10120.0</v>
      </c>
      <c r="G335" s="10">
        <f t="shared" si="8"/>
        <v>1686.666667</v>
      </c>
      <c r="H335" s="10">
        <v>2019.0</v>
      </c>
      <c r="I335" s="11">
        <f t="shared" si="1"/>
        <v>1012</v>
      </c>
      <c r="J335" s="12">
        <v>0.8333333333333334</v>
      </c>
    </row>
    <row r="336">
      <c r="A336" s="6" t="s">
        <v>169</v>
      </c>
      <c r="B336" s="7" t="s">
        <v>20</v>
      </c>
      <c r="C336" s="7" t="s">
        <v>15</v>
      </c>
      <c r="D336" s="7" t="s">
        <v>19</v>
      </c>
      <c r="E336" s="8">
        <v>33.0</v>
      </c>
      <c r="F336" s="8">
        <v>10140.0</v>
      </c>
      <c r="G336" s="10">
        <f t="shared" si="8"/>
        <v>1690</v>
      </c>
      <c r="H336" s="10">
        <v>2019.0</v>
      </c>
      <c r="I336" s="11">
        <f t="shared" si="1"/>
        <v>1014</v>
      </c>
      <c r="J336" s="12">
        <v>0.8333333333333334</v>
      </c>
    </row>
    <row r="337">
      <c r="A337" s="6" t="s">
        <v>170</v>
      </c>
      <c r="B337" s="7" t="s">
        <v>21</v>
      </c>
      <c r="C337" s="7" t="s">
        <v>18</v>
      </c>
      <c r="D337" s="7" t="s">
        <v>13</v>
      </c>
      <c r="E337" s="8">
        <v>33.0</v>
      </c>
      <c r="F337" s="8">
        <v>10160.0</v>
      </c>
      <c r="G337" s="10">
        <f t="shared" si="8"/>
        <v>1693.333333</v>
      </c>
      <c r="H337" s="10">
        <v>2019.0</v>
      </c>
      <c r="I337" s="11">
        <f t="shared" si="1"/>
        <v>1016</v>
      </c>
      <c r="J337" s="12">
        <v>0.8333333333333333</v>
      </c>
    </row>
    <row r="338">
      <c r="A338" s="6" t="s">
        <v>171</v>
      </c>
      <c r="B338" s="7" t="s">
        <v>11</v>
      </c>
      <c r="C338" s="7" t="s">
        <v>12</v>
      </c>
      <c r="D338" s="7" t="s">
        <v>25</v>
      </c>
      <c r="E338" s="8">
        <v>33.0</v>
      </c>
      <c r="F338" s="8">
        <v>10180.0</v>
      </c>
      <c r="G338" s="10">
        <f t="shared" si="8"/>
        <v>1696.666667</v>
      </c>
      <c r="H338" s="10">
        <v>2019.0</v>
      </c>
      <c r="I338" s="11">
        <f t="shared" si="1"/>
        <v>1018</v>
      </c>
      <c r="J338" s="12">
        <v>0.8333333333333334</v>
      </c>
    </row>
    <row r="339">
      <c r="A339" s="6" t="s">
        <v>172</v>
      </c>
      <c r="B339" s="7" t="s">
        <v>14</v>
      </c>
      <c r="C339" s="7" t="s">
        <v>15</v>
      </c>
      <c r="D339" s="7" t="s">
        <v>16</v>
      </c>
      <c r="E339" s="8">
        <v>33.0</v>
      </c>
      <c r="F339" s="8">
        <v>10200.0</v>
      </c>
      <c r="G339" s="10">
        <f t="shared" si="8"/>
        <v>1700</v>
      </c>
      <c r="H339" s="10">
        <v>2019.0</v>
      </c>
      <c r="I339" s="11">
        <f t="shared" si="1"/>
        <v>1020</v>
      </c>
      <c r="J339" s="12">
        <v>0.8333333333333334</v>
      </c>
    </row>
    <row r="340">
      <c r="A340" s="6" t="s">
        <v>173</v>
      </c>
      <c r="B340" s="7" t="s">
        <v>17</v>
      </c>
      <c r="C340" s="7" t="s">
        <v>18</v>
      </c>
      <c r="D340" s="7" t="s">
        <v>19</v>
      </c>
      <c r="E340" s="8">
        <v>33.0</v>
      </c>
      <c r="F340" s="8">
        <v>10220.0</v>
      </c>
      <c r="G340" s="10">
        <f t="shared" si="8"/>
        <v>1703.333333</v>
      </c>
      <c r="H340" s="10">
        <v>2019.0</v>
      </c>
      <c r="I340" s="11">
        <f t="shared" si="1"/>
        <v>1022</v>
      </c>
      <c r="J340" s="12">
        <v>0.8333333333333333</v>
      </c>
    </row>
    <row r="341">
      <c r="A341" s="6" t="s">
        <v>174</v>
      </c>
      <c r="B341" s="7" t="s">
        <v>20</v>
      </c>
      <c r="C341" s="7" t="s">
        <v>12</v>
      </c>
      <c r="D341" s="7" t="s">
        <v>13</v>
      </c>
      <c r="E341" s="8">
        <v>33.0</v>
      </c>
      <c r="F341" s="8">
        <v>10240.0</v>
      </c>
      <c r="G341" s="10">
        <f t="shared" si="8"/>
        <v>1706.666667</v>
      </c>
      <c r="H341" s="10">
        <v>2019.0</v>
      </c>
      <c r="I341" s="11">
        <f t="shared" si="1"/>
        <v>1024</v>
      </c>
      <c r="J341" s="12">
        <v>0.8333333333333334</v>
      </c>
    </row>
    <row r="342">
      <c r="A342" s="6" t="s">
        <v>175</v>
      </c>
      <c r="B342" s="7" t="s">
        <v>11</v>
      </c>
      <c r="C342" s="7" t="s">
        <v>12</v>
      </c>
      <c r="D342" s="7" t="s">
        <v>13</v>
      </c>
      <c r="E342" s="8">
        <v>33.0</v>
      </c>
      <c r="F342" s="8">
        <v>10260.0</v>
      </c>
      <c r="G342" s="10">
        <f t="shared" si="8"/>
        <v>1710</v>
      </c>
      <c r="H342" s="10">
        <v>2019.0</v>
      </c>
      <c r="I342" s="11">
        <f t="shared" si="1"/>
        <v>1026</v>
      </c>
      <c r="J342" s="12">
        <v>0.8333333333333334</v>
      </c>
    </row>
    <row r="343">
      <c r="A343" s="6" t="s">
        <v>176</v>
      </c>
      <c r="B343" s="7" t="s">
        <v>14</v>
      </c>
      <c r="C343" s="7" t="s">
        <v>15</v>
      </c>
      <c r="D343" s="7" t="s">
        <v>16</v>
      </c>
      <c r="E343" s="8">
        <v>33.0</v>
      </c>
      <c r="F343" s="8">
        <v>10280.0</v>
      </c>
      <c r="G343" s="10">
        <f t="shared" si="8"/>
        <v>1713.333333</v>
      </c>
      <c r="H343" s="10">
        <v>2019.0</v>
      </c>
      <c r="I343" s="11">
        <f t="shared" si="1"/>
        <v>1028</v>
      </c>
      <c r="J343" s="12">
        <v>0.8333333333333333</v>
      </c>
    </row>
  </sheetData>
  <customSheetViews>
    <customSheetView guid="{C32D4791-11A4-4736-9A5C-1250122F1203}" filter="1" showAutoFilter="1">
      <autoFilter ref="$A$1:$H$344"/>
    </customSheetView>
    <customSheetView guid="{C32D4791-11A4-4736-9A5C-1250122F1203}" filter="1" showAutoFilter="1">
      <autoFilter ref="$A$1:$J$3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5" t="s">
        <v>177</v>
      </c>
    </row>
    <row r="2">
      <c r="A2" s="16"/>
      <c r="B2" s="16"/>
      <c r="C2" s="16"/>
      <c r="D2" s="16"/>
      <c r="E2" s="16"/>
      <c r="F2" s="16"/>
      <c r="G2" s="16"/>
      <c r="H2" s="16"/>
      <c r="I2" s="16"/>
      <c r="J2" s="16"/>
    </row>
    <row r="3">
      <c r="A3" s="16"/>
      <c r="B3" s="16"/>
      <c r="C3" s="16"/>
      <c r="D3" s="16"/>
      <c r="E3" s="16"/>
      <c r="F3" s="16"/>
      <c r="G3" s="16"/>
      <c r="H3" s="16"/>
      <c r="I3" s="16"/>
      <c r="J3" s="16"/>
    </row>
    <row r="4">
      <c r="A4" s="16"/>
      <c r="B4" s="16"/>
      <c r="C4" s="16"/>
      <c r="D4" s="16"/>
      <c r="E4" s="16"/>
      <c r="F4" s="16"/>
      <c r="G4" s="16"/>
      <c r="H4" s="16"/>
      <c r="I4" s="16"/>
      <c r="J4" s="16"/>
    </row>
    <row r="5">
      <c r="A5" s="17"/>
      <c r="B5" s="17"/>
      <c r="C5" s="17"/>
      <c r="D5" s="17"/>
      <c r="E5" s="17"/>
      <c r="F5" s="17"/>
      <c r="G5" s="17"/>
      <c r="H5" s="17"/>
      <c r="I5" s="17"/>
      <c r="J5" s="17"/>
    </row>
    <row r="6">
      <c r="A6" s="17"/>
      <c r="B6" s="17"/>
      <c r="C6" s="17"/>
      <c r="D6" s="17"/>
      <c r="E6" s="17"/>
      <c r="F6" s="17"/>
      <c r="G6" s="17"/>
      <c r="H6" s="17"/>
      <c r="I6" s="17"/>
      <c r="J6" s="17"/>
    </row>
    <row r="7">
      <c r="A7" s="17"/>
      <c r="B7" s="17"/>
      <c r="C7" s="17"/>
      <c r="D7" s="17"/>
      <c r="E7" s="17"/>
      <c r="F7" s="17"/>
      <c r="G7" s="17"/>
      <c r="H7" s="17"/>
      <c r="I7" s="17"/>
      <c r="J7" s="17"/>
    </row>
    <row r="8">
      <c r="A8" s="17"/>
      <c r="B8" s="17"/>
      <c r="C8" s="17"/>
      <c r="D8" s="17"/>
      <c r="E8" s="17"/>
      <c r="F8" s="17"/>
      <c r="G8" s="17"/>
      <c r="H8" s="17"/>
      <c r="I8" s="17"/>
      <c r="J8" s="17"/>
    </row>
    <row r="9">
      <c r="A9" s="17"/>
      <c r="B9" s="17"/>
      <c r="C9" s="17"/>
      <c r="D9" s="17"/>
      <c r="E9" s="17"/>
      <c r="F9" s="17"/>
      <c r="G9" s="17"/>
      <c r="H9" s="17"/>
      <c r="I9" s="17"/>
      <c r="J9" s="17"/>
    </row>
    <row r="10">
      <c r="A10" s="17"/>
      <c r="B10" s="17"/>
      <c r="C10" s="17"/>
      <c r="D10" s="17"/>
      <c r="E10" s="17"/>
      <c r="F10" s="17"/>
      <c r="G10" s="17"/>
      <c r="H10" s="17"/>
      <c r="I10" s="17"/>
      <c r="J10" s="17"/>
    </row>
    <row r="11">
      <c r="A11" s="17"/>
      <c r="B11" s="17"/>
      <c r="C11" s="17"/>
      <c r="D11" s="17"/>
      <c r="E11" s="17"/>
      <c r="F11" s="17"/>
      <c r="G11" s="17"/>
      <c r="H11" s="17"/>
      <c r="I11" s="17"/>
      <c r="J11" s="17"/>
    </row>
    <row r="12">
      <c r="A12" s="17"/>
      <c r="B12" s="17"/>
      <c r="C12" s="17"/>
      <c r="D12" s="17"/>
      <c r="E12" s="17"/>
      <c r="F12" s="17"/>
      <c r="G12" s="17"/>
      <c r="H12" s="17"/>
      <c r="I12" s="17"/>
      <c r="J12" s="17"/>
    </row>
    <row r="13">
      <c r="A13" s="17"/>
      <c r="B13" s="17"/>
      <c r="C13" s="17"/>
      <c r="D13" s="17"/>
      <c r="E13" s="17"/>
      <c r="F13" s="17"/>
      <c r="G13" s="17"/>
      <c r="H13" s="17"/>
      <c r="I13" s="17"/>
      <c r="J13" s="17"/>
    </row>
    <row r="14">
      <c r="A14" s="17"/>
      <c r="B14" s="17"/>
      <c r="C14" s="17"/>
      <c r="D14" s="17"/>
      <c r="E14" s="17"/>
      <c r="F14" s="17"/>
      <c r="G14" s="17"/>
      <c r="H14" s="17"/>
      <c r="I14" s="17"/>
      <c r="J14" s="17"/>
    </row>
    <row r="15">
      <c r="A15" s="17"/>
      <c r="B15" s="17"/>
      <c r="C15" s="17"/>
      <c r="D15" s="17"/>
      <c r="E15" s="17"/>
      <c r="F15" s="17"/>
      <c r="G15" s="17"/>
      <c r="H15" s="17"/>
      <c r="I15" s="17"/>
      <c r="J15" s="17"/>
    </row>
    <row r="16">
      <c r="A16" s="17"/>
      <c r="B16" s="17"/>
      <c r="C16" s="17"/>
      <c r="D16" s="17"/>
      <c r="E16" s="17"/>
      <c r="F16" s="17"/>
      <c r="G16" s="17"/>
      <c r="H16" s="17"/>
      <c r="I16" s="17"/>
      <c r="J16" s="17"/>
    </row>
    <row r="17">
      <c r="A17" s="17"/>
      <c r="B17" s="17"/>
      <c r="C17" s="17"/>
      <c r="D17" s="17"/>
      <c r="E17" s="17"/>
      <c r="F17" s="17"/>
      <c r="G17" s="17"/>
      <c r="H17" s="17"/>
      <c r="I17" s="17"/>
      <c r="J17" s="17"/>
    </row>
    <row r="18">
      <c r="A18" s="17"/>
      <c r="B18" s="17"/>
      <c r="C18" s="17"/>
      <c r="D18" s="17"/>
      <c r="E18" s="17"/>
      <c r="F18" s="17"/>
      <c r="G18" s="17"/>
      <c r="H18" s="17"/>
      <c r="I18" s="17"/>
      <c r="J18" s="17"/>
    </row>
    <row r="19">
      <c r="A19" s="17"/>
      <c r="B19" s="17"/>
      <c r="C19" s="17"/>
      <c r="D19" s="17"/>
      <c r="E19" s="17"/>
      <c r="F19" s="17"/>
      <c r="G19" s="17"/>
      <c r="H19" s="17"/>
      <c r="I19" s="17"/>
      <c r="J19" s="17"/>
    </row>
    <row r="20">
      <c r="A20" s="17"/>
      <c r="B20" s="17"/>
      <c r="C20" s="17"/>
      <c r="D20" s="17"/>
      <c r="E20" s="17"/>
      <c r="F20" s="17"/>
      <c r="G20" s="17"/>
      <c r="H20" s="17"/>
      <c r="I20" s="17"/>
      <c r="J20" s="17"/>
    </row>
  </sheetData>
  <mergeCells count="1">
    <mergeCell ref="A1:J1"/>
  </mergeCells>
  <drawing r:id="rId1"/>
  <extLst>
    <ext uri="{3A4CF648-6AED-40f4-86FF-DC5316D8AED3}">
      <x14:slicerList>
        <x14:slicer r:id="rId2"/>
      </x14:slicerList>
    </ext>
  </extLst>
</worksheet>
</file>