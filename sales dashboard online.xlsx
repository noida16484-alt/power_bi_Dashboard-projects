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  <sheet state="visible" name="Sheet3" sheetId="3" r:id="rId7"/>
    <sheet state="visible" name="Detail3-Jul-Cash" sheetId="4" r:id="rId8"/>
    <sheet state="visible" name="Detail2-P0025" sheetId="5" r:id="rId9"/>
    <sheet state="visible" name="Detail1-Aug-Cash" sheetId="6" r:id="rId10"/>
  </sheets>
  <definedNames/>
  <calcPr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  <pivotCache cacheId="9" r:id="rId20"/>
  </pivotCaches>
</workbook>
</file>

<file path=xl/sharedStrings.xml><?xml version="1.0" encoding="utf-8"?>
<sst xmlns="http://schemas.openxmlformats.org/spreadsheetml/2006/main" count="588" uniqueCount="44">
  <si>
    <t>ID</t>
  </si>
  <si>
    <t>Date</t>
  </si>
  <si>
    <t>Name</t>
  </si>
  <si>
    <t>QUANTITY</t>
  </si>
  <si>
    <t>PRODUCT ID</t>
  </si>
  <si>
    <t>sales type</t>
  </si>
  <si>
    <t>PAYMENT MODE</t>
  </si>
  <si>
    <t>DISCOUNT %</t>
  </si>
  <si>
    <t>Buying Price</t>
  </si>
  <si>
    <t>Selling Price</t>
  </si>
  <si>
    <t>Total Buying Price</t>
  </si>
  <si>
    <t>Total Selling Price</t>
  </si>
  <si>
    <t>Month</t>
  </si>
  <si>
    <t>Profit</t>
  </si>
  <si>
    <t>RAJ KUMAR</t>
  </si>
  <si>
    <t>P0026</t>
  </si>
  <si>
    <t>Wholesaler</t>
  </si>
  <si>
    <t>Online</t>
  </si>
  <si>
    <t>Jan</t>
  </si>
  <si>
    <t>RINKU</t>
  </si>
  <si>
    <t>P0024</t>
  </si>
  <si>
    <t>wholesaler</t>
  </si>
  <si>
    <t>online</t>
  </si>
  <si>
    <t>NEERAJ</t>
  </si>
  <si>
    <t>Cash</t>
  </si>
  <si>
    <t>MOHAN</t>
  </si>
  <si>
    <t>P0027</t>
  </si>
  <si>
    <t>Jul</t>
  </si>
  <si>
    <t>P0028</t>
  </si>
  <si>
    <t>Feb</t>
  </si>
  <si>
    <t>Mar</t>
  </si>
  <si>
    <t>Apr</t>
  </si>
  <si>
    <t>Jun</t>
  </si>
  <si>
    <t>P0025</t>
  </si>
  <si>
    <t>Aug</t>
  </si>
  <si>
    <t>Nov</t>
  </si>
  <si>
    <t>Sep</t>
  </si>
  <si>
    <t>Dec</t>
  </si>
  <si>
    <t>Oct</t>
  </si>
  <si>
    <t>May</t>
  </si>
  <si>
    <t>SUM of Total Buying Price</t>
  </si>
  <si>
    <t>SUM of Total Selling Price</t>
  </si>
  <si>
    <t>Grand Total</t>
  </si>
  <si>
    <t>SUM of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</si>
</sst>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-mmmm-yy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color rgb="FFFFFFFF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C7687"/>
        <bgColor rgb="FF6C7687"/>
      </patternFill>
    </fill>
    <fill>
      <patternFill patternType="solid">
        <fgColor rgb="FFEBEFF1"/>
        <bgColor rgb="FFEBEFF1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</fills>
  <borders count="9">
    <border/>
    <border>
      <left style="thin">
        <color rgb="FF6C7687"/>
      </left>
      <right style="thin">
        <color rgb="FF6C7687"/>
      </right>
      <top style="thin">
        <color rgb="FF6C7687"/>
      </top>
      <bottom style="thin">
        <color rgb="FF6C7687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bottom"/>
    </xf>
    <xf borderId="1" fillId="3" fontId="2" numFmtId="164" xfId="0" applyAlignment="1" applyBorder="1" applyFill="1" applyFont="1" applyNumberForma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10" xfId="0" applyAlignment="1" applyBorder="1" applyFill="1" applyFont="1" applyNumberFormat="1">
      <alignment horizontal="center" vertical="bottom"/>
    </xf>
    <xf borderId="2" fillId="0" fontId="3" numFmtId="0" xfId="0" applyAlignment="1" applyBorder="1" applyFont="1">
      <alignment horizontal="center" readingOrder="0"/>
    </xf>
    <xf borderId="1" fillId="4" fontId="2" numFmtId="164" xfId="0" applyAlignment="1" applyBorder="1" applyFill="1" applyFont="1" applyNumberFormat="1">
      <alignment horizontal="center" vertical="bottom"/>
    </xf>
    <xf borderId="3" fillId="0" fontId="3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vertical="bottom"/>
    </xf>
    <xf borderId="1" fillId="4" fontId="2" numFmtId="10" xfId="0" applyAlignment="1" applyBorder="1" applyFill="1" applyFont="1" applyNumberFormat="1">
      <alignment horizontal="center" vertical="bottom"/>
    </xf>
    <xf borderId="4" fillId="0" fontId="3" numFmtId="0" xfId="0" applyAlignment="1" applyBorder="1" applyFont="1">
      <alignment horizontal="center" readingOrder="0"/>
    </xf>
    <xf borderId="5" fillId="0" fontId="4" numFmtId="164" xfId="0" applyAlignment="1" applyBorder="1" applyFont="1" applyNumberFormat="1">
      <alignment readingOrder="0"/>
    </xf>
    <xf borderId="6" fillId="0" fontId="4" numFmtId="164" xfId="0" applyAlignment="1" applyBorder="1" applyFont="1" applyNumberFormat="1">
      <alignment readingOrder="0"/>
    </xf>
    <xf borderId="6" fillId="0" fontId="4" numFmtId="0" xfId="0" applyAlignment="1" applyBorder="1" applyFont="1">
      <alignment readingOrder="0"/>
    </xf>
    <xf borderId="6" fillId="0" fontId="4" numFmtId="10" xfId="0" applyAlignment="1" applyBorder="1" applyFont="1" applyNumberFormat="1">
      <alignment readingOrder="0"/>
    </xf>
    <xf borderId="7" fillId="0" fontId="4" numFmtId="0" xfId="0" applyAlignment="1" applyBorder="1" applyFont="1">
      <alignment readingOrder="0"/>
    </xf>
    <xf borderId="1" fillId="4" fontId="2" numFmtId="0" xfId="0" applyAlignment="1" applyBorder="1" applyFill="1" applyFont="1">
      <alignment vertical="bottom"/>
    </xf>
    <xf borderId="5" fillId="0" fontId="4" numFmtId="165" xfId="0" applyAlignment="1" applyBorder="1" applyFont="1" applyNumberFormat="1">
      <alignment readingOrder="0"/>
    </xf>
    <xf borderId="6" fillId="0" fontId="4" numFmtId="165" xfId="0" applyAlignment="1" applyBorder="1" applyFont="1" applyNumberFormat="1">
      <alignment readingOrder="0"/>
    </xf>
    <xf borderId="1" fillId="4" fontId="2" numFmtId="165" xfId="0" applyAlignment="1" applyBorder="1" applyFill="1" applyFont="1" applyNumberFormat="1">
      <alignment horizontal="center" vertical="bottom"/>
    </xf>
    <xf borderId="1" fillId="3" fontId="2" numFmtId="165" xfId="0" applyAlignment="1" applyBorder="1" applyFill="1" applyFont="1" applyNumberFormat="1">
      <alignment horizontal="center" vertical="bottom"/>
    </xf>
    <xf borderId="0" fillId="0" fontId="4" numFmtId="0" xfId="0" applyFont="1"/>
    <xf borderId="0" fillId="5" fontId="4" numFmtId="0" xfId="0" applyFill="1" applyFont="1"/>
    <xf borderId="0" fillId="0" fontId="4" numFmtId="1" xfId="0" applyFont="1" applyNumberFormat="1"/>
    <xf borderId="8" fillId="0" fontId="4" numFmtId="0" xfId="0" applyBorder="1" applyFont="1"/>
    <xf borderId="8" fillId="6" fontId="4" numFmtId="0" xfId="0" applyBorder="1" applyFill="1" applyFont="1"/>
    <xf borderId="8" fillId="6" fontId="4" numFmtId="0" xfId="0" applyAlignment="1" applyBorder="1" applyFill="1" applyFont="1">
      <alignment horizontal="center"/>
    </xf>
    <xf borderId="8" fillId="0" fontId="4" numFmtId="0" xfId="0" applyAlignment="1" applyBorder="1" applyFont="1">
      <alignment horizontal="center"/>
    </xf>
    <xf borderId="8" fillId="5" fontId="4" numFmtId="10" xfId="0" applyBorder="1" applyFill="1" applyFont="1" applyNumberFormat="1"/>
    <xf borderId="8" fillId="5" fontId="4" numFmtId="0" xfId="0" applyBorder="1" applyFill="1" applyFont="1"/>
    <xf borderId="8" fillId="5" fontId="4" numFmtId="10" xfId="0" applyAlignment="1" applyBorder="1" applyFill="1" applyFont="1" applyNumberFormat="1">
      <alignment horizontal="center"/>
    </xf>
    <xf borderId="8" fillId="5" fontId="4" numFmtId="0" xfId="0" applyAlignment="1" applyBorder="1" applyFill="1" applyFont="1">
      <alignment horizontal="center"/>
    </xf>
    <xf borderId="8" fillId="7" fontId="4" numFmtId="0" xfId="0" applyAlignment="1" applyBorder="1" applyFill="1" applyFont="1">
      <alignment horizontal="center"/>
    </xf>
    <xf borderId="8" fillId="0" fontId="4" numFmtId="1" xfId="0" applyAlignment="1" applyBorder="1" applyFont="1" applyNumberFormat="1">
      <alignment horizontal="center"/>
    </xf>
    <xf borderId="8" fillId="0" fontId="4" numFmtId="10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3" pivot="0" name="Detail3-Jul-Cash-style">
      <tableStyleElement dxfId="1" type="headerRow"/>
      <tableStyleElement dxfId="2" type="firstRowStripe"/>
      <tableStyleElement dxfId="3" type="secondRowStripe"/>
    </tableStyle>
    <tableStyle count="3" pivot="0" name="Detail2-P0025-style">
      <tableStyleElement dxfId="1" type="headerRow"/>
      <tableStyleElement dxfId="2" type="firstRowStripe"/>
      <tableStyleElement dxfId="3" type="secondRowStripe"/>
    </tableStyle>
    <tableStyle count="3" pivot="0" name="Detail1-Aug-Cas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0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7.xml"/><Relationship Id="rId16" Type="http://schemas.openxmlformats.org/officeDocument/2006/relationships/pivotCacheDefinition" Target="pivotCache/pivotCacheDefinition6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9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8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and online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Sheet3!$C$3</c:f>
            </c:strRef>
          </c:tx>
          <c:spPr>
            <a:solidFill>
              <a:srgbClr val="9FC5E8">
                <a:alpha val="30000"/>
              </a:srgbClr>
            </a:solidFill>
            <a:ln cmpd="sng">
              <a:solidFill>
                <a:srgbClr val="9FC5E8">
                  <a:alpha val="100000"/>
                </a:srgbClr>
              </a:solidFill>
            </a:ln>
          </c:spPr>
          <c:cat>
            <c:strRef>
              <c:f>Sheet3!$B$4:$B$15</c:f>
            </c:strRef>
          </c:cat>
          <c:val>
            <c:numRef>
              <c:f>Sheet3!$C$4:$C$15</c:f>
              <c:numCache/>
            </c:numRef>
          </c:val>
        </c:ser>
        <c:ser>
          <c:idx val="1"/>
          <c:order val="1"/>
          <c:tx>
            <c:strRef>
              <c:f>Sheet3!$D$3</c:f>
            </c:strRef>
          </c:tx>
          <c:spPr>
            <a:solidFill>
              <a:srgbClr val="B6D7A8">
                <a:alpha val="30000"/>
              </a:srgbClr>
            </a:solidFill>
            <a:ln cmpd="sng">
              <a:solidFill>
                <a:srgbClr val="B6D7A8">
                  <a:alpha val="100000"/>
                </a:srgbClr>
              </a:solidFill>
            </a:ln>
          </c:spPr>
          <c:cat>
            <c:strRef>
              <c:f>Sheet3!$B$4:$B$15</c:f>
            </c:strRef>
          </c:cat>
          <c:val>
            <c:numRef>
              <c:f>Sheet3!$D$4:$D$15</c:f>
              <c:numCache/>
            </c:numRef>
          </c:val>
        </c:ser>
        <c:axId val="256336772"/>
        <c:axId val="25879153"/>
      </c:areaChart>
      <c:catAx>
        <c:axId val="256336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79153"/>
      </c:catAx>
      <c:valAx>
        <c:axId val="25879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3367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seller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Sheet3!$H$3</c:f>
            </c:strRef>
          </c:tx>
          <c:spPr>
            <a:solidFill>
              <a:srgbClr val="B6D7A8"/>
            </a:solidFill>
            <a:ln cmpd="sng">
              <a:noFill/>
            </a:ln>
          </c:spPr>
          <c:invertIfNegative val="0"/>
          <c:dPt>
            <c:idx val="2"/>
          </c:dPt>
          <c:cat>
            <c:strRef>
              <c:f>Sheet3!$G$4:$G$7</c:f>
            </c:strRef>
          </c:cat>
          <c:val>
            <c:numRef>
              <c:f>Sheet3!$H$4:$H$7</c:f>
              <c:numCache/>
            </c:numRef>
          </c:val>
        </c:ser>
        <c:ser>
          <c:idx val="1"/>
          <c:order val="1"/>
          <c:tx>
            <c:strRef>
              <c:f>Sheet3!$I$3</c:f>
            </c:strRef>
          </c:tx>
          <c:spPr>
            <a:solidFill>
              <a:srgbClr val="A2C4C9"/>
            </a:solidFill>
            <a:ln cmpd="sng">
              <a:noFill/>
            </a:ln>
          </c:spPr>
          <c:invertIfNegative val="0"/>
          <c:cat>
            <c:strRef>
              <c:f>Sheet3!$G$4:$G$7</c:f>
            </c:strRef>
          </c:cat>
          <c:val>
            <c:numRef>
              <c:f>Sheet3!$I$4:$I$7</c:f>
              <c:numCache/>
            </c:numRef>
          </c:val>
        </c:ser>
        <c:axId val="78847537"/>
        <c:axId val="1252963404"/>
      </c:barChart>
      <c:catAx>
        <c:axId val="78847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963404"/>
      </c:catAx>
      <c:valAx>
        <c:axId val="1252963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8475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product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Sheet3!$H$10</c:f>
            </c:strRef>
          </c:tx>
          <c:spPr>
            <a:solidFill>
              <a:srgbClr val="A2C4C9"/>
            </a:solidFill>
            <a:ln cmpd="sng">
              <a:noFill/>
            </a:ln>
          </c:spPr>
          <c:invertIfNegative val="0"/>
          <c:cat>
            <c:strRef>
              <c:f>Sheet3!$G$11:$G$15</c:f>
            </c:strRef>
          </c:cat>
          <c:val>
            <c:numRef>
              <c:f>Sheet3!$H$11:$H$15</c:f>
              <c:numCache/>
            </c:numRef>
          </c:val>
        </c:ser>
        <c:ser>
          <c:idx val="1"/>
          <c:order val="1"/>
          <c:tx>
            <c:strRef>
              <c:f>Sheet3!$I$10</c:f>
            </c:strRef>
          </c:tx>
          <c:spPr>
            <a:solidFill>
              <a:srgbClr val="B6D7A8"/>
            </a:solidFill>
            <a:ln cmpd="sng">
              <a:noFill/>
            </a:ln>
          </c:spPr>
          <c:invertIfNegative val="0"/>
          <c:dPt>
            <c:idx val="2"/>
          </c:dPt>
          <c:cat>
            <c:strRef>
              <c:f>Sheet3!$G$11:$G$15</c:f>
            </c:strRef>
          </c:cat>
          <c:val>
            <c:numRef>
              <c:f>Sheet3!$I$11:$I$15</c:f>
              <c:numCache/>
            </c:numRef>
          </c:val>
        </c:ser>
        <c:overlap val="100"/>
        <c:axId val="328164892"/>
        <c:axId val="1125634481"/>
      </c:barChart>
      <c:catAx>
        <c:axId val="328164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634481"/>
      </c:catAx>
      <c:valAx>
        <c:axId val="1125634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8164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16</xdr:row>
      <xdr:rowOff>95250</xdr:rowOff>
    </xdr:from>
    <xdr:ext cx="3857625" cy="2619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</xdr:colOff>
      <xdr:row>16</xdr:row>
      <xdr:rowOff>95250</xdr:rowOff>
    </xdr:from>
    <xdr:ext cx="3914775" cy="2619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485775</xdr:colOff>
      <xdr:row>16</xdr:row>
      <xdr:rowOff>95250</xdr:rowOff>
    </xdr:from>
    <xdr:ext cx="4572000" cy="2619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7" sheet="Sheet1"/>
  </cacheSource>
  <cacheFields>
    <cacheField name="ID" numFmtId="164">
      <sharedItems containsSemiMixedTypes="0" containsNonDate="0" containsDate="1" containsString="0">
        <d v="1903-04-15T00:00:00Z"/>
        <d v="1903-04-16T00:00:00Z"/>
        <d v="1903-04-17T00:00:00Z"/>
        <d v="1903-04-18T00:00:00Z"/>
        <d v="1903-04-19T00:00:00Z"/>
        <d v="1903-04-20T00:00:00Z"/>
        <d v="1903-04-21T00:00:00Z"/>
        <d v="1903-04-22T00:00:00Z"/>
        <d v="1903-04-23T00:00:00Z"/>
        <d v="1903-04-24T00:00:00Z"/>
        <d v="1903-04-25T00:00:00Z"/>
        <d v="1903-04-26T00:00:00Z"/>
        <d v="1903-04-27T00:00:00Z"/>
        <d v="1903-04-28T00:00:00Z"/>
        <d v="1903-04-29T00:00:00Z"/>
        <d v="1903-04-30T00:00:00Z"/>
        <d v="1903-05-01T00:00:00Z"/>
        <d v="1903-05-02T00:00:00Z"/>
        <d v="1903-05-03T00:00:00Z"/>
        <d v="1903-05-04T00:00:00Z"/>
        <d v="1903-05-05T00:00:00Z"/>
        <d v="1903-05-06T00:00:00Z"/>
        <d v="1903-05-07T00:00:00Z"/>
        <d v="1903-05-08T00:00:00Z"/>
        <d v="1903-05-09T00:00:00Z"/>
        <d v="1903-05-10T00:00:00Z"/>
        <d v="1903-05-11T00:00:00Z"/>
        <d v="1903-05-12T00:00:00Z"/>
        <d v="1903-05-13T00:00:00Z"/>
        <d v="1903-05-14T00:00:00Z"/>
        <d v="1903-05-16T00:00:00Z"/>
        <d v="1903-05-17T00:00:00Z"/>
        <d v="1903-05-18T00:00:00Z"/>
        <d v="1903-05-19T00:00:00Z"/>
        <d v="1903-05-20T00:00:00Z"/>
        <d v="1903-05-21T00:00:00Z"/>
        <d v="1903-05-22T00:00:00Z"/>
        <d v="1903-05-23T00:00:00Z"/>
        <d v="1903-05-24T00:00:00Z"/>
        <d v="1903-05-25T00:00:00Z"/>
        <d v="1903-05-26T00:00:00Z"/>
        <d v="1903-05-27T00:00:00Z"/>
        <d v="1903-05-28T00:00:00Z"/>
        <d v="1903-05-29T00:00:00Z"/>
        <d v="1903-05-30T00:00:00Z"/>
        <d v="1903-05-31T00:00:00Z"/>
        <d v="1903-06-01T00:00:00Z"/>
        <d v="1903-06-02T00:00:00Z"/>
        <d v="1903-06-03T00:00:00Z"/>
        <d v="1903-06-04T00:00:00Z"/>
        <d v="1903-06-05T00:00:00Z"/>
        <d v="1903-06-06T00:00:00Z"/>
        <d v="1903-06-07T00:00:00Z"/>
        <d v="1903-06-08T00:00:00Z"/>
        <d v="1903-06-09T00:00:00Z"/>
        <d v="1903-06-10T00:00:00Z"/>
        <d v="1903-06-11T00:00:00Z"/>
        <d v="1903-06-12T00:00:00Z"/>
        <d v="1903-06-13T00:00:00Z"/>
        <d v="1903-06-14T00:00:00Z"/>
        <d v="1903-06-15T00:00:00Z"/>
        <d v="1903-06-16T00:00:00Z"/>
        <d v="1903-06-17T00:00:00Z"/>
        <d v="1903-06-18T00:00:00Z"/>
        <d v="1903-06-19T00:00:00Z"/>
        <d v="1903-06-20T00:00:00Z"/>
        <d v="1903-06-21T00:00:00Z"/>
        <d v="1903-06-22T00:00:00Z"/>
        <d v="1903-06-23T00:00:00Z"/>
        <d v="1903-06-24T00:00:00Z"/>
        <d v="1903-06-25T00:00:00Z"/>
        <d v="1903-06-26T00:00:00Z"/>
        <d v="1903-06-27T00:00:00Z"/>
        <d v="1903-06-28T00:00:00Z"/>
        <d v="1903-06-29T00:00:00Z"/>
      </sharedItems>
      <fieldGroup par="14"/>
    </cacheField>
    <cacheField name="Date" numFmtId="164">
      <sharedItems containsSemiMixedTypes="0" containsDate="1" containsString="0">
        <d v="2021-01-19T00:00:00Z"/>
        <d v="2021-01-20T00:00:00Z"/>
        <d v="2021-01-21T00:00:00Z"/>
        <d v="2021-01-26T00:00:00Z"/>
        <d v="2021-01-27T00:00:00Z"/>
        <d v="2021-02-03T00:00:00Z"/>
        <d v="2021-02-25T00:00:00Z"/>
        <d v="2021-02-27T00:00:00Z"/>
        <d v="2021-03-09T00:00:00Z"/>
        <d v="2021-03-13T00:00:00Z"/>
        <d v="2021-03-18T00:00:00Z"/>
        <d v="2021-04-18T00:00:00Z"/>
        <d v="2021-06-04T00:00:00Z"/>
        <d v="2021-06-05T00:00:00Z"/>
        <d v="2021-06-08T00:00:00Z"/>
        <d v="2021-06-11T00:00:00Z"/>
        <d v="2021-06-16T00:00:00Z"/>
        <d v="2021-06-20T00:00:00Z"/>
        <d v="2021-07-10T00:00:00Z"/>
        <d v="2021-07-11T00:00:00Z"/>
        <d v="2021-07-16T00:00:00Z"/>
        <d v="2021-07-22T00:00:00Z"/>
        <d v="2021-07-23T00:00:00Z"/>
        <d v="2021-08-06T00:00:00Z"/>
        <d v="2021-08-10T00:00:00Z"/>
        <d v="2021-08-29T00:00:00Z"/>
        <d v="2021-09-01T00:00:00Z"/>
        <d v="2021-09-10T00:00:00Z"/>
        <d v="2021-09-11T00:00:00Z"/>
        <d v="2021-09-21T00:00:00Z"/>
        <d v="2021-10-24T00:00:00Z"/>
        <d v="2021-10-26T00:00:00Z"/>
        <d v="2021-11-11T00:00:00Z"/>
        <d v="2021-11-21T00:00:00Z"/>
        <d v="2021-12-19T00:00:00Z"/>
        <d v="2021-12-24T00:00:00Z"/>
        <d v="2022-01-01T00:00:00Z"/>
        <d v="2022-01-18T00:00:00Z"/>
        <d v="2022-01-23T00:00:00Z"/>
        <d v="2022-03-04T00:00:00Z"/>
        <d v="2022-03-10T00:00:00Z"/>
        <d v="2022-03-19T00:00:00Z"/>
        <d v="2022-03-25T00:00:00Z"/>
        <d v="2022-04-06T00:00:00Z"/>
        <d v="2022-04-09T00:00:00Z"/>
        <d v="2022-04-13T00:00:00Z"/>
        <d v="2022-04-20T00:00:00Z"/>
        <d v="2022-05-01T00:00:00Z"/>
        <d v="2022-05-09T00:00:00Z"/>
        <d v="2022-05-18T00:00:00Z"/>
        <d v="2022-05-28T00:00:00Z"/>
        <d v="2022-05-30T00:00:00Z"/>
        <d v="2022-06-10T00:00:00Z"/>
        <d v="2022-06-15T00:00:00Z"/>
        <d v="2022-07-20T00:00:00Z"/>
        <d v="2022-08-15T00:00:00Z"/>
        <d v="2022-08-26T00:00:00Z"/>
        <d v="2022-08-27T00:00:00Z"/>
        <d v="2022-09-06T00:00:00Z"/>
        <d v="2022-09-19T00:00:00Z"/>
        <d v="2022-09-27T00:00:00Z"/>
        <d v="2022-10-14T00:00:00Z"/>
        <d v="2022-11-01T00:00:00Z"/>
        <d v="2022-11-02T00:00:00Z"/>
        <d v="2022-11-08T00:00:00Z"/>
        <d v="2022-11-13T00:00:00Z"/>
        <d v="2021-01-01T00:00:00Z"/>
        <d v="2021-01-11T00:00:00Z"/>
      </sharedItems>
    </cacheField>
    <cacheField name="Name" numFmtId="0">
      <sharedItems>
        <s v="RAJ KUMAR"/>
        <s v="RINKU"/>
        <s v="NEERAJ"/>
        <s v="MOHAN"/>
      </sharedItems>
    </cacheField>
    <cacheField name="QUANTITY" numFmtId="0">
      <sharedItems containsSemiMixedTypes="0" containsString="0" containsNumber="1">
        <n v="9.0"/>
        <n v="4.0"/>
        <n v="15.0"/>
        <n v="7.0"/>
        <n v="3.0"/>
        <n v="2.0"/>
        <n v="11.0"/>
        <n v="6.0"/>
        <n v="10.0"/>
        <n v="8.0"/>
        <n v="12.0"/>
        <n v="5.0"/>
        <n v="1.0"/>
        <n v="13.0"/>
        <n v="14.0"/>
        <n v="9.814487"/>
        <n v="9.869584"/>
        <n v="9.924681"/>
        <n v="9.979779"/>
        <n v="10.03488"/>
      </sharedItems>
    </cacheField>
    <cacheField name="PRODUCT ID" numFmtId="0">
      <sharedItems>
        <s v="P0026"/>
        <s v="P0024"/>
        <s v="P0027"/>
        <s v="P0028"/>
        <s v="P0025"/>
      </sharedItems>
    </cacheField>
    <cacheField name="sales type" numFmtId="0">
      <sharedItems>
        <s v="Wholesaler"/>
      </sharedItems>
    </cacheField>
    <cacheField name="PAYMENT MODE" numFmtId="10">
      <sharedItems>
        <s v="Online"/>
        <s v="Cash"/>
      </sharedItems>
    </cacheField>
    <cacheField name="DISCOUNT %" numFmtId="10">
      <sharedItems containsSemiMixedTypes="0" containsString="0" containsNumber="1">
        <n v="0.02"/>
        <n v="0.01"/>
        <n v="0.0"/>
        <n v="-0.001"/>
      </sharedItems>
    </cacheField>
    <cacheField name="Buying Price" numFmtId="0">
      <sharedItems containsString="0" containsBlank="1" containsNumber="1">
        <n v="144.0"/>
        <n v="112.0"/>
        <n v="87.0"/>
        <n v="76.0"/>
        <n v="90.0"/>
        <n v="89.0"/>
        <n v="121.0"/>
        <n v="105.0"/>
        <n v="37.0"/>
        <m/>
        <n v="120.0"/>
        <n v="72.0"/>
        <n v="61.0"/>
        <n v="44.0"/>
        <n v="150.0"/>
        <n v="13.0"/>
        <n v="55.0"/>
        <n v="6.0"/>
        <n v="141.0"/>
        <n v="18.0"/>
        <n v="67.0"/>
        <n v="133.0"/>
        <n v="98.0"/>
        <n v="47.0"/>
        <n v="83.0"/>
        <n v="95.0"/>
        <n v="138.0"/>
        <n v="134.0"/>
        <n v="48.0"/>
        <n v="73.0"/>
        <n v="12.0"/>
        <n v="65.0"/>
        <n v="58.86666667"/>
        <n v="52.73333333"/>
        <n v="46.6"/>
        <n v="40.46666667"/>
      </sharedItems>
    </cacheField>
    <cacheField name="Selling Price" numFmtId="0">
      <sharedItems containsSemiMixedTypes="0" containsString="0" containsNumber="1">
        <n v="156.96"/>
        <n v="146.72"/>
        <n v="215.0"/>
        <n v="82.08"/>
        <n v="115.2"/>
        <n v="117.48"/>
        <n v="141.57"/>
        <n v="142.8"/>
        <n v="49.21"/>
        <n v="53.11"/>
        <n v="41.81"/>
        <n v="162.0"/>
        <n v="79.92"/>
        <n v="76.25"/>
        <n v="48.84"/>
        <n v="210.0"/>
        <n v="16.64"/>
        <n v="58.3"/>
        <n v="7.86"/>
        <n v="149.46"/>
        <n v="24.66"/>
        <n v="96.3"/>
        <n v="85.76"/>
        <n v="155.61"/>
        <n v="103.88"/>
        <n v="48.4"/>
        <n v="94.62"/>
        <n v="119.7"/>
        <n v="173.88"/>
        <n v="42.55"/>
        <n v="156.78"/>
        <n v="57.12"/>
        <n v="94.17"/>
        <n v="15.72"/>
        <n v="97.98993159"/>
        <n v="97.87902985"/>
        <n v="97.7681281"/>
        <n v="97.65722636"/>
        <n v="97.54632461"/>
      </sharedItems>
    </cacheField>
    <cacheField name="Total Buying Price" numFmtId="0">
      <sharedItems containsSemiMixedTypes="0" containsString="0" containsNumber="1">
        <n v="1296.0"/>
        <n v="448.0"/>
        <n v="660.0"/>
        <n v="684.0"/>
        <n v="630.0"/>
        <n v="267.0"/>
        <n v="242.0"/>
        <n v="420.0"/>
        <n v="407.0"/>
        <n v="282.0"/>
        <n v="370.0"/>
        <n v="960.0"/>
        <n v="648.0"/>
        <n v="488.0"/>
        <n v="1815.0"/>
        <n v="484.0"/>
        <n v="1068.0"/>
        <n v="750.0"/>
        <n v="13.0"/>
        <n v="330.0"/>
        <n v="24.0"/>
        <n v="1128.0"/>
        <n v="54.0"/>
        <n v="67.0"/>
        <n v="532.0"/>
        <n v="144.0"/>
        <n v="882.0"/>
        <n v="588.0"/>
        <n v="427.0"/>
        <n v="132.0"/>
        <n v="264.0"/>
        <n v="1080.0"/>
        <n v="112.0"/>
        <n v="141.0"/>
        <n v="720.0"/>
        <n v="121.0"/>
        <n v="747.0"/>
        <n v="525.0"/>
        <n v="234.0"/>
        <n v="1140.0"/>
        <n v="828.0"/>
        <n v="196.0"/>
        <n v="180.0"/>
        <n v="444.0"/>
        <n v="182.0"/>
        <n v="74.0"/>
        <n v="495.0"/>
        <n v="1608.0"/>
        <n v="192.0"/>
        <n v="576.0"/>
        <n v="415.0"/>
        <n v="1380.0"/>
        <n v="296.0"/>
        <n v="1800.0"/>
        <n v="440.0"/>
        <n v="1950.0"/>
        <n v="555.0"/>
        <n v="1596.0"/>
        <n v="760.0"/>
        <n v="216.0"/>
        <n v="1095.0"/>
        <n v="1500.0"/>
        <n v="990.0"/>
        <n v="480.0"/>
        <n v="801.8269618"/>
        <n v="806.6374916"/>
        <n v="811.4480215"/>
        <n v="816.2585513"/>
        <n v="821.0690812"/>
      </sharedItems>
    </cacheField>
    <cacheField name="Total Selling Price" numFmtId="0">
      <sharedItems containsSemiMixedTypes="0" containsString="0" containsNumber="1">
        <n v="1384.4"/>
        <n v="581.0"/>
        <n v="732.6"/>
        <n v="738.7"/>
        <n v="806.4"/>
        <n v="352.4"/>
        <n v="283.1"/>
        <n v="571.2"/>
        <n v="541.3"/>
        <n v="318.7"/>
        <n v="418.1"/>
        <n v="1296.0"/>
        <n v="719.3"/>
        <n v="610.0"/>
        <n v="2123.6"/>
        <n v="537.2"/>
        <n v="1409.8"/>
        <n v="1050.0"/>
        <n v="16.6"/>
        <n v="349.8"/>
        <n v="31.4"/>
        <n v="1195.7"/>
        <n v="74.0"/>
        <n v="674.1"/>
        <n v="85.8"/>
        <n v="622.4"/>
        <n v="699.6"/>
        <n v="157.0"/>
        <n v="934.9"/>
        <n v="623.3"/>
        <n v="533.8"/>
        <n v="145.2"/>
        <n v="293.0"/>
        <n v="1382.4"/>
        <n v="146.7"/>
        <n v="159.3"/>
        <n v="770.4"/>
        <n v="141.6"/>
        <n v="851.6"/>
        <n v="714.0"/>
        <n v="320.6"/>
        <n v="1436.4"/>
        <n v="1043.3"/>
        <n v="207.8"/>
        <n v="230.4"/>
        <n v="510.6"/>
        <n v="233.0"/>
        <n v="98.4"/>
        <n v="524.7"/>
        <n v="1881.4"/>
        <n v="228.5"/>
        <n v="639.4"/>
        <n v="473.1"/>
        <n v="1738.8"/>
        <n v="334.5"/>
        <n v="2430.0"/>
        <n v="484.0"/>
        <n v="2730.0"/>
        <n v="638.3"/>
        <n v="1867.3"/>
        <n v="957.6"/>
        <n v="239.8"/>
        <n v="1231.2"/>
        <n v="1412.6"/>
        <n v="235.8"/>
        <n v="2100.0"/>
        <n v="1059.3"/>
        <n v="1001.2"/>
        <n v="1007.8"/>
        <n v="1014.5"/>
        <n v="1021.1"/>
        <n v="1027.7"/>
      </sharedItems>
    </cacheField>
    <cacheField name="Month" numFmtId="0">
      <sharedItems>
        <s v="Jan"/>
        <s v="Feb"/>
        <s v="Mar"/>
        <s v="Apr"/>
        <s v="Jun"/>
        <s v="Jul"/>
        <s v="Aug"/>
        <s v="Sep"/>
        <s v="Oct"/>
        <s v="Nov"/>
        <s v="Dec"/>
        <s v="May"/>
      </sharedItems>
    </cacheField>
    <cacheField name="Profit" numFmtId="0">
      <sharedItems containsSemiMixedTypes="0" containsString="0" containsNumber="1" containsInteger="1">
        <n v="88.0"/>
        <n v="133.0"/>
        <n v="73.0"/>
        <n v="55.0"/>
        <n v="176.0"/>
        <n v="85.0"/>
        <n v="41.0"/>
        <n v="151.0"/>
        <n v="134.0"/>
        <n v="37.0"/>
        <n v="48.0"/>
        <n v="336.0"/>
        <n v="71.0"/>
        <n v="122.0"/>
        <n v="309.0"/>
        <n v="53.0"/>
        <n v="342.0"/>
        <n v="300.0"/>
        <n v="4.0"/>
        <n v="20.0"/>
        <n v="7.0"/>
        <n v="68.0"/>
        <n v="44.0"/>
        <n v="19.0"/>
        <n v="90.0"/>
        <n v="40.0"/>
        <n v="13.0"/>
        <n v="35.0"/>
        <n v="107.0"/>
        <n v="29.0"/>
        <n v="302.0"/>
        <n v="18.0"/>
        <n v="50.0"/>
        <n v="21.0"/>
        <n v="105.0"/>
        <n v="189.0"/>
        <n v="87.0"/>
        <n v="296.0"/>
        <n v="215.0"/>
        <n v="12.0"/>
        <n v="67.0"/>
        <n v="51.0"/>
        <n v="24.0"/>
        <n v="30.0"/>
        <n v="273.0"/>
        <n v="36.0"/>
        <n v="63.0"/>
        <n v="58.0"/>
        <n v="359.0"/>
        <n v="38.0"/>
        <n v="630.0"/>
        <n v="780.0"/>
        <n v="83.0"/>
        <n v="271.0"/>
        <n v="198.0"/>
        <n v="91.0"/>
        <n v="318.0"/>
        <n v="56.0"/>
        <n v="600.0"/>
        <n v="69.0"/>
        <n v="199.0"/>
        <n v="201.0"/>
        <n v="203.0"/>
        <n v="205.0"/>
        <n v="207.0"/>
      </sharedItems>
    </cacheField>
    <cacheField name="id2" databaseField="0">
      <fieldGroup base="0">
        <rangePr autoStart="0" autoEnd="0" groupBy="months" startDate="1903-04-15T00:00:00Z" endDate="1903-06-30T00:00:00Z"/>
        <groupItems>
          <s v="&lt;04/15/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30/03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7" sheet="Sheet1"/>
  </cacheSource>
  <cacheFields>
    <cacheField name="ID" numFmtId="164">
      <sharedItems containsSemiMixedTypes="0" containsNonDate="0" containsDate="1" containsString="0">
        <d v="1903-04-15T00:00:00Z"/>
        <d v="1903-04-16T00:00:00Z"/>
        <d v="1903-04-17T00:00:00Z"/>
        <d v="1903-04-18T00:00:00Z"/>
        <d v="1903-04-19T00:00:00Z"/>
        <d v="1903-04-20T00:00:00Z"/>
        <d v="1903-04-21T00:00:00Z"/>
        <d v="1903-04-22T00:00:00Z"/>
        <d v="1903-04-23T00:00:00Z"/>
        <d v="1903-04-24T00:00:00Z"/>
        <d v="1903-04-25T00:00:00Z"/>
        <d v="1903-04-26T00:00:00Z"/>
        <d v="1903-04-27T00:00:00Z"/>
        <d v="1903-04-28T00:00:00Z"/>
        <d v="1903-04-29T00:00:00Z"/>
        <d v="1903-04-30T00:00:00Z"/>
        <d v="1903-05-01T00:00:00Z"/>
        <d v="1903-05-02T00:00:00Z"/>
        <d v="1903-05-03T00:00:00Z"/>
        <d v="1903-05-04T00:00:00Z"/>
        <d v="1903-05-05T00:00:00Z"/>
        <d v="1903-05-06T00:00:00Z"/>
        <d v="1903-05-07T00:00:00Z"/>
        <d v="1903-05-08T00:00:00Z"/>
        <d v="1903-05-09T00:00:00Z"/>
        <d v="1903-05-10T00:00:00Z"/>
        <d v="1903-05-11T00:00:00Z"/>
        <d v="1903-05-12T00:00:00Z"/>
        <d v="1903-05-13T00:00:00Z"/>
        <d v="1903-05-14T00:00:00Z"/>
        <d v="1903-05-16T00:00:00Z"/>
        <d v="1903-05-17T00:00:00Z"/>
        <d v="1903-05-18T00:00:00Z"/>
        <d v="1903-05-19T00:00:00Z"/>
        <d v="1903-05-20T00:00:00Z"/>
        <d v="1903-05-21T00:00:00Z"/>
        <d v="1903-05-22T00:00:00Z"/>
        <d v="1903-05-23T00:00:00Z"/>
        <d v="1903-05-24T00:00:00Z"/>
        <d v="1903-05-25T00:00:00Z"/>
        <d v="1903-05-26T00:00:00Z"/>
        <d v="1903-05-27T00:00:00Z"/>
        <d v="1903-05-28T00:00:00Z"/>
        <d v="1903-05-29T00:00:00Z"/>
        <d v="1903-05-30T00:00:00Z"/>
        <d v="1903-05-31T00:00:00Z"/>
        <d v="1903-06-01T00:00:00Z"/>
        <d v="1903-06-02T00:00:00Z"/>
        <d v="1903-06-03T00:00:00Z"/>
        <d v="1903-06-04T00:00:00Z"/>
        <d v="1903-06-05T00:00:00Z"/>
        <d v="1903-06-06T00:00:00Z"/>
        <d v="1903-06-07T00:00:00Z"/>
        <d v="1903-06-08T00:00:00Z"/>
        <d v="1903-06-09T00:00:00Z"/>
        <d v="1903-06-10T00:00:00Z"/>
        <d v="1903-06-11T00:00:00Z"/>
        <d v="1903-06-12T00:00:00Z"/>
        <d v="1903-06-13T00:00:00Z"/>
        <d v="1903-06-14T00:00:00Z"/>
        <d v="1903-06-15T00:00:00Z"/>
        <d v="1903-06-16T00:00:00Z"/>
        <d v="1903-06-17T00:00:00Z"/>
        <d v="1903-06-18T00:00:00Z"/>
        <d v="1903-06-19T00:00:00Z"/>
        <d v="1903-06-20T00:00:00Z"/>
        <d v="1903-06-21T00:00:00Z"/>
        <d v="1903-06-22T00:00:00Z"/>
        <d v="1903-06-23T00:00:00Z"/>
        <d v="1903-06-24T00:00:00Z"/>
        <d v="1903-06-25T00:00:00Z"/>
        <d v="1903-06-26T00:00:00Z"/>
        <d v="1903-06-27T00:00:00Z"/>
        <d v="1903-06-28T00:00:00Z"/>
        <d v="1903-06-29T00:00:00Z"/>
      </sharedItems>
      <fieldGroup par="14"/>
    </cacheField>
    <cacheField name="Date" numFmtId="164">
      <sharedItems containsSemiMixedTypes="0" containsDate="1" containsString="0">
        <d v="2021-01-19T00:00:00Z"/>
        <d v="2021-01-20T00:00:00Z"/>
        <d v="2021-01-21T00:00:00Z"/>
        <d v="2021-01-26T00:00:00Z"/>
        <d v="2021-01-27T00:00:00Z"/>
        <d v="2021-02-03T00:00:00Z"/>
        <d v="2021-02-25T00:00:00Z"/>
        <d v="2021-02-27T00:00:00Z"/>
        <d v="2021-03-09T00:00:00Z"/>
        <d v="2021-03-13T00:00:00Z"/>
        <d v="2021-03-18T00:00:00Z"/>
        <d v="2021-04-18T00:00:00Z"/>
        <d v="2021-06-04T00:00:00Z"/>
        <d v="2021-06-05T00:00:00Z"/>
        <d v="2021-06-08T00:00:00Z"/>
        <d v="2021-06-11T00:00:00Z"/>
        <d v="2021-06-16T00:00:00Z"/>
        <d v="2021-06-20T00:00:00Z"/>
        <d v="2021-07-10T00:00:00Z"/>
        <d v="2021-07-11T00:00:00Z"/>
        <d v="2021-07-16T00:00:00Z"/>
        <d v="2021-07-22T00:00:00Z"/>
        <d v="2021-07-23T00:00:00Z"/>
        <d v="2021-08-06T00:00:00Z"/>
        <d v="2021-08-10T00:00:00Z"/>
        <d v="2021-08-29T00:00:00Z"/>
        <d v="2021-09-01T00:00:00Z"/>
        <d v="2021-09-10T00:00:00Z"/>
        <d v="2021-09-11T00:00:00Z"/>
        <d v="2021-09-21T00:00:00Z"/>
        <d v="2021-10-24T00:00:00Z"/>
        <d v="2021-10-26T00:00:00Z"/>
        <d v="2021-11-11T00:00:00Z"/>
        <d v="2021-11-21T00:00:00Z"/>
        <d v="2021-12-19T00:00:00Z"/>
        <d v="2021-12-24T00:00:00Z"/>
        <d v="2022-01-01T00:00:00Z"/>
        <d v="2022-01-18T00:00:00Z"/>
        <d v="2022-01-23T00:00:00Z"/>
        <d v="2022-03-04T00:00:00Z"/>
        <d v="2022-03-10T00:00:00Z"/>
        <d v="2022-03-19T00:00:00Z"/>
        <d v="2022-03-25T00:00:00Z"/>
        <d v="2022-04-06T00:00:00Z"/>
        <d v="2022-04-09T00:00:00Z"/>
        <d v="2022-04-13T00:00:00Z"/>
        <d v="2022-04-20T00:00:00Z"/>
        <d v="2022-05-01T00:00:00Z"/>
        <d v="2022-05-09T00:00:00Z"/>
        <d v="2022-05-18T00:00:00Z"/>
        <d v="2022-05-28T00:00:00Z"/>
        <d v="2022-05-30T00:00:00Z"/>
        <d v="2022-06-10T00:00:00Z"/>
        <d v="2022-06-15T00:00:00Z"/>
        <d v="2022-07-20T00:00:00Z"/>
        <d v="2022-08-15T00:00:00Z"/>
        <d v="2022-08-26T00:00:00Z"/>
        <d v="2022-08-27T00:00:00Z"/>
        <d v="2022-09-06T00:00:00Z"/>
        <d v="2022-09-19T00:00:00Z"/>
        <d v="2022-09-27T00:00:00Z"/>
        <d v="2022-10-14T00:00:00Z"/>
        <d v="2022-11-01T00:00:00Z"/>
        <d v="2022-11-02T00:00:00Z"/>
        <d v="2022-11-08T00:00:00Z"/>
        <d v="2022-11-13T00:00:00Z"/>
        <d v="2021-01-01T00:00:00Z"/>
        <d v="2021-01-11T00:00:00Z"/>
      </sharedItems>
    </cacheField>
    <cacheField name="Name" numFmtId="0">
      <sharedItems>
        <s v="RAJ KUMAR"/>
        <s v="RINKU"/>
        <s v="NEERAJ"/>
        <s v="MOHAN"/>
      </sharedItems>
    </cacheField>
    <cacheField name="QUANTITY" numFmtId="0">
      <sharedItems containsSemiMixedTypes="0" containsString="0" containsNumber="1">
        <n v="9.0"/>
        <n v="4.0"/>
        <n v="15.0"/>
        <n v="7.0"/>
        <n v="3.0"/>
        <n v="2.0"/>
        <n v="11.0"/>
        <n v="6.0"/>
        <n v="10.0"/>
        <n v="8.0"/>
        <n v="12.0"/>
        <n v="5.0"/>
        <n v="1.0"/>
        <n v="13.0"/>
        <n v="14.0"/>
        <n v="9.814487"/>
        <n v="9.869584"/>
        <n v="9.924681"/>
        <n v="9.979779"/>
        <n v="10.03488"/>
      </sharedItems>
    </cacheField>
    <cacheField name="PRODUCT ID" numFmtId="0">
      <sharedItems>
        <s v="P0026"/>
        <s v="P0024"/>
        <s v="P0027"/>
        <s v="P0028"/>
        <s v="P0025"/>
      </sharedItems>
    </cacheField>
    <cacheField name="sales type" numFmtId="0">
      <sharedItems>
        <s v="Wholesaler"/>
      </sharedItems>
    </cacheField>
    <cacheField name="PAYMENT MODE" numFmtId="10">
      <sharedItems>
        <s v="Online"/>
        <s v="Cash"/>
      </sharedItems>
    </cacheField>
    <cacheField name="DISCOUNT %" numFmtId="10">
      <sharedItems containsSemiMixedTypes="0" containsString="0" containsNumber="1">
        <n v="0.02"/>
        <n v="0.01"/>
        <n v="0.0"/>
        <n v="-0.001"/>
      </sharedItems>
    </cacheField>
    <cacheField name="Buying Price" numFmtId="0">
      <sharedItems containsString="0" containsBlank="1" containsNumber="1">
        <n v="144.0"/>
        <n v="112.0"/>
        <n v="87.0"/>
        <n v="76.0"/>
        <n v="90.0"/>
        <n v="89.0"/>
        <n v="121.0"/>
        <n v="105.0"/>
        <n v="37.0"/>
        <m/>
        <n v="120.0"/>
        <n v="72.0"/>
        <n v="61.0"/>
        <n v="44.0"/>
        <n v="150.0"/>
        <n v="13.0"/>
        <n v="55.0"/>
        <n v="6.0"/>
        <n v="141.0"/>
        <n v="18.0"/>
        <n v="67.0"/>
        <n v="133.0"/>
        <n v="98.0"/>
        <n v="47.0"/>
        <n v="83.0"/>
        <n v="95.0"/>
        <n v="138.0"/>
        <n v="134.0"/>
        <n v="48.0"/>
        <n v="73.0"/>
        <n v="12.0"/>
        <n v="65.0"/>
        <n v="58.86666667"/>
        <n v="52.73333333"/>
        <n v="46.6"/>
        <n v="40.46666667"/>
      </sharedItems>
    </cacheField>
    <cacheField name="Selling Price" numFmtId="0">
      <sharedItems containsSemiMixedTypes="0" containsString="0" containsNumber="1">
        <n v="156.96"/>
        <n v="146.72"/>
        <n v="215.0"/>
        <n v="82.08"/>
        <n v="115.2"/>
        <n v="117.48"/>
        <n v="141.57"/>
        <n v="142.8"/>
        <n v="49.21"/>
        <n v="53.11"/>
        <n v="41.81"/>
        <n v="162.0"/>
        <n v="79.92"/>
        <n v="76.25"/>
        <n v="48.84"/>
        <n v="210.0"/>
        <n v="16.64"/>
        <n v="58.3"/>
        <n v="7.86"/>
        <n v="149.46"/>
        <n v="24.66"/>
        <n v="96.3"/>
        <n v="85.76"/>
        <n v="155.61"/>
        <n v="103.88"/>
        <n v="48.4"/>
        <n v="94.62"/>
        <n v="119.7"/>
        <n v="173.88"/>
        <n v="42.55"/>
        <n v="156.78"/>
        <n v="57.12"/>
        <n v="94.17"/>
        <n v="15.72"/>
        <n v="97.98993159"/>
        <n v="97.87902985"/>
        <n v="97.7681281"/>
        <n v="97.65722636"/>
        <n v="97.54632461"/>
      </sharedItems>
    </cacheField>
    <cacheField name="Total Buying Price" numFmtId="0">
      <sharedItems containsSemiMixedTypes="0" containsString="0" containsNumber="1">
        <n v="1296.0"/>
        <n v="448.0"/>
        <n v="660.0"/>
        <n v="684.0"/>
        <n v="630.0"/>
        <n v="267.0"/>
        <n v="242.0"/>
        <n v="420.0"/>
        <n v="407.0"/>
        <n v="282.0"/>
        <n v="370.0"/>
        <n v="960.0"/>
        <n v="648.0"/>
        <n v="488.0"/>
        <n v="1815.0"/>
        <n v="484.0"/>
        <n v="1068.0"/>
        <n v="750.0"/>
        <n v="13.0"/>
        <n v="330.0"/>
        <n v="24.0"/>
        <n v="1128.0"/>
        <n v="54.0"/>
        <n v="67.0"/>
        <n v="532.0"/>
        <n v="144.0"/>
        <n v="882.0"/>
        <n v="588.0"/>
        <n v="427.0"/>
        <n v="132.0"/>
        <n v="264.0"/>
        <n v="1080.0"/>
        <n v="112.0"/>
        <n v="141.0"/>
        <n v="720.0"/>
        <n v="121.0"/>
        <n v="747.0"/>
        <n v="525.0"/>
        <n v="234.0"/>
        <n v="1140.0"/>
        <n v="828.0"/>
        <n v="196.0"/>
        <n v="180.0"/>
        <n v="444.0"/>
        <n v="182.0"/>
        <n v="74.0"/>
        <n v="495.0"/>
        <n v="1608.0"/>
        <n v="192.0"/>
        <n v="576.0"/>
        <n v="415.0"/>
        <n v="1380.0"/>
        <n v="296.0"/>
        <n v="1800.0"/>
        <n v="440.0"/>
        <n v="1950.0"/>
        <n v="555.0"/>
        <n v="1596.0"/>
        <n v="760.0"/>
        <n v="216.0"/>
        <n v="1095.0"/>
        <n v="1500.0"/>
        <n v="990.0"/>
        <n v="480.0"/>
        <n v="801.8269618"/>
        <n v="806.6374916"/>
        <n v="811.4480215"/>
        <n v="816.2585513"/>
        <n v="821.0690812"/>
      </sharedItems>
    </cacheField>
    <cacheField name="Total Selling Price" numFmtId="0">
      <sharedItems containsSemiMixedTypes="0" containsString="0" containsNumber="1">
        <n v="1384.4"/>
        <n v="581.0"/>
        <n v="732.6"/>
        <n v="738.7"/>
        <n v="806.4"/>
        <n v="352.4"/>
        <n v="283.1"/>
        <n v="571.2"/>
        <n v="541.3"/>
        <n v="318.7"/>
        <n v="418.1"/>
        <n v="1296.0"/>
        <n v="719.3"/>
        <n v="610.0"/>
        <n v="2123.6"/>
        <n v="537.2"/>
        <n v="1409.8"/>
        <n v="1050.0"/>
        <n v="16.6"/>
        <n v="349.8"/>
        <n v="31.4"/>
        <n v="1195.7"/>
        <n v="74.0"/>
        <n v="674.1"/>
        <n v="85.8"/>
        <n v="622.4"/>
        <n v="699.6"/>
        <n v="157.0"/>
        <n v="934.9"/>
        <n v="623.3"/>
        <n v="533.8"/>
        <n v="145.2"/>
        <n v="293.0"/>
        <n v="1382.4"/>
        <n v="146.7"/>
        <n v="159.3"/>
        <n v="770.4"/>
        <n v="141.6"/>
        <n v="851.6"/>
        <n v="714.0"/>
        <n v="320.6"/>
        <n v="1436.4"/>
        <n v="1043.3"/>
        <n v="207.8"/>
        <n v="230.4"/>
        <n v="510.6"/>
        <n v="233.0"/>
        <n v="98.4"/>
        <n v="524.7"/>
        <n v="1881.4"/>
        <n v="228.5"/>
        <n v="639.4"/>
        <n v="473.1"/>
        <n v="1738.8"/>
        <n v="334.5"/>
        <n v="2430.0"/>
        <n v="484.0"/>
        <n v="2730.0"/>
        <n v="638.3"/>
        <n v="1867.3"/>
        <n v="957.6"/>
        <n v="239.8"/>
        <n v="1231.2"/>
        <n v="1412.6"/>
        <n v="235.8"/>
        <n v="2100.0"/>
        <n v="1059.3"/>
        <n v="1001.2"/>
        <n v="1007.8"/>
        <n v="1014.5"/>
        <n v="1021.1"/>
        <n v="1027.7"/>
      </sharedItems>
    </cacheField>
    <cacheField name="Month" numFmtId="0">
      <sharedItems>
        <s v="Jan"/>
        <s v="Feb"/>
        <s v="Mar"/>
        <s v="Apr"/>
        <s v="Jun"/>
        <s v="Jul"/>
        <s v="Aug"/>
        <s v="Sep"/>
        <s v="Oct"/>
        <s v="Nov"/>
        <s v="Dec"/>
        <s v="May"/>
      </sharedItems>
    </cacheField>
    <cacheField name="Profit" numFmtId="0">
      <sharedItems containsSemiMixedTypes="0" containsString="0" containsNumber="1" containsInteger="1">
        <n v="88.0"/>
        <n v="133.0"/>
        <n v="73.0"/>
        <n v="55.0"/>
        <n v="176.0"/>
        <n v="85.0"/>
        <n v="41.0"/>
        <n v="151.0"/>
        <n v="134.0"/>
        <n v="37.0"/>
        <n v="48.0"/>
        <n v="336.0"/>
        <n v="71.0"/>
        <n v="122.0"/>
        <n v="309.0"/>
        <n v="53.0"/>
        <n v="342.0"/>
        <n v="300.0"/>
        <n v="4.0"/>
        <n v="20.0"/>
        <n v="7.0"/>
        <n v="68.0"/>
        <n v="44.0"/>
        <n v="19.0"/>
        <n v="90.0"/>
        <n v="40.0"/>
        <n v="13.0"/>
        <n v="35.0"/>
        <n v="107.0"/>
        <n v="29.0"/>
        <n v="302.0"/>
        <n v="18.0"/>
        <n v="50.0"/>
        <n v="21.0"/>
        <n v="105.0"/>
        <n v="189.0"/>
        <n v="87.0"/>
        <n v="296.0"/>
        <n v="215.0"/>
        <n v="12.0"/>
        <n v="67.0"/>
        <n v="51.0"/>
        <n v="24.0"/>
        <n v="30.0"/>
        <n v="273.0"/>
        <n v="36.0"/>
        <n v="63.0"/>
        <n v="58.0"/>
        <n v="359.0"/>
        <n v="38.0"/>
        <n v="630.0"/>
        <n v="780.0"/>
        <n v="83.0"/>
        <n v="271.0"/>
        <n v="198.0"/>
        <n v="91.0"/>
        <n v="318.0"/>
        <n v="56.0"/>
        <n v="600.0"/>
        <n v="69.0"/>
        <n v="199.0"/>
        <n v="201.0"/>
        <n v="203.0"/>
        <n v="205.0"/>
        <n v="207.0"/>
      </sharedItems>
    </cacheField>
    <cacheField name="id2" databaseField="0">
      <fieldGroup base="0">
        <rangePr autoStart="0" autoEnd="0" groupBy="months" startDate="1903-04-15T00:00:00Z" endDate="1903-06-30T00:00:00Z"/>
        <groupItems>
          <s v="&lt;04/15/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30/03"/>
        </groupItems>
      </fieldGroup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7" sheet="Sheet1"/>
  </cacheSource>
  <cacheFields>
    <cacheField name="ID" numFmtId="164">
      <sharedItems containsSemiMixedTypes="0" containsNonDate="0" containsDate="1" containsString="0">
        <d v="1903-04-15T00:00:00Z"/>
        <d v="1903-04-16T00:00:00Z"/>
        <d v="1903-04-17T00:00:00Z"/>
        <d v="1903-04-18T00:00:00Z"/>
        <d v="1903-04-19T00:00:00Z"/>
        <d v="1903-04-20T00:00:00Z"/>
        <d v="1903-04-21T00:00:00Z"/>
        <d v="1903-04-22T00:00:00Z"/>
        <d v="1903-04-23T00:00:00Z"/>
        <d v="1903-04-24T00:00:00Z"/>
        <d v="1903-04-25T00:00:00Z"/>
        <d v="1903-04-26T00:00:00Z"/>
        <d v="1903-04-27T00:00:00Z"/>
        <d v="1903-04-28T00:00:00Z"/>
        <d v="1903-04-29T00:00:00Z"/>
        <d v="1903-04-30T00:00:00Z"/>
        <d v="1903-05-01T00:00:00Z"/>
        <d v="1903-05-02T00:00:00Z"/>
        <d v="1903-05-03T00:00:00Z"/>
        <d v="1903-05-04T00:00:00Z"/>
        <d v="1903-05-05T00:00:00Z"/>
        <d v="1903-05-06T00:00:00Z"/>
        <d v="1903-05-07T00:00:00Z"/>
        <d v="1903-05-08T00:00:00Z"/>
        <d v="1903-05-09T00:00:00Z"/>
        <d v="1903-05-10T00:00:00Z"/>
        <d v="1903-05-11T00:00:00Z"/>
        <d v="1903-05-12T00:00:00Z"/>
        <d v="1903-05-13T00:00:00Z"/>
        <d v="1903-05-14T00:00:00Z"/>
        <d v="1903-05-16T00:00:00Z"/>
        <d v="1903-05-17T00:00:00Z"/>
        <d v="1903-05-18T00:00:00Z"/>
        <d v="1903-05-19T00:00:00Z"/>
        <d v="1903-05-20T00:00:00Z"/>
        <d v="1903-05-21T00:00:00Z"/>
        <d v="1903-05-22T00:00:00Z"/>
        <d v="1903-05-23T00:00:00Z"/>
        <d v="1903-05-24T00:00:00Z"/>
        <d v="1903-05-25T00:00:00Z"/>
        <d v="1903-05-26T00:00:00Z"/>
        <d v="1903-05-27T00:00:00Z"/>
        <d v="1903-05-28T00:00:00Z"/>
        <d v="1903-05-29T00:00:00Z"/>
        <d v="1903-05-30T00:00:00Z"/>
        <d v="1903-05-31T00:00:00Z"/>
        <d v="1903-06-01T00:00:00Z"/>
        <d v="1903-06-02T00:00:00Z"/>
        <d v="1903-06-03T00:00:00Z"/>
        <d v="1903-06-04T00:00:00Z"/>
        <d v="1903-06-05T00:00:00Z"/>
        <d v="1903-06-06T00:00:00Z"/>
        <d v="1903-06-07T00:00:00Z"/>
        <d v="1903-06-08T00:00:00Z"/>
        <d v="1903-06-09T00:00:00Z"/>
        <d v="1903-06-10T00:00:00Z"/>
        <d v="1903-06-11T00:00:00Z"/>
        <d v="1903-06-12T00:00:00Z"/>
        <d v="1903-06-13T00:00:00Z"/>
        <d v="1903-06-14T00:00:00Z"/>
        <d v="1903-06-15T00:00:00Z"/>
        <d v="1903-06-16T00:00:00Z"/>
        <d v="1903-06-17T00:00:00Z"/>
        <d v="1903-06-18T00:00:00Z"/>
        <d v="1903-06-19T00:00:00Z"/>
        <d v="1903-06-20T00:00:00Z"/>
        <d v="1903-06-21T00:00:00Z"/>
        <d v="1903-06-22T00:00:00Z"/>
        <d v="1903-06-23T00:00:00Z"/>
        <d v="1903-06-24T00:00:00Z"/>
        <d v="1903-06-25T00:00:00Z"/>
        <d v="1903-06-26T00:00:00Z"/>
        <d v="1903-06-27T00:00:00Z"/>
        <d v="1903-06-28T00:00:00Z"/>
        <d v="1903-06-29T00:00:00Z"/>
      </sharedItems>
      <fieldGroup par="14"/>
    </cacheField>
    <cacheField name="Date" numFmtId="164">
      <sharedItems containsSemiMixedTypes="0" containsDate="1" containsString="0">
        <d v="2021-01-19T00:00:00Z"/>
        <d v="2021-01-20T00:00:00Z"/>
        <d v="2021-01-21T00:00:00Z"/>
        <d v="2021-01-26T00:00:00Z"/>
        <d v="2021-01-27T00:00:00Z"/>
        <d v="2021-02-03T00:00:00Z"/>
        <d v="2021-02-25T00:00:00Z"/>
        <d v="2021-02-27T00:00:00Z"/>
        <d v="2021-03-09T00:00:00Z"/>
        <d v="2021-03-13T00:00:00Z"/>
        <d v="2021-03-18T00:00:00Z"/>
        <d v="2021-04-18T00:00:00Z"/>
        <d v="2021-06-04T00:00:00Z"/>
        <d v="2021-06-05T00:00:00Z"/>
        <d v="2021-06-08T00:00:00Z"/>
        <d v="2021-06-11T00:00:00Z"/>
        <d v="2021-06-16T00:00:00Z"/>
        <d v="2021-06-20T00:00:00Z"/>
        <d v="2021-07-10T00:00:00Z"/>
        <d v="2021-07-11T00:00:00Z"/>
        <d v="2021-07-16T00:00:00Z"/>
        <d v="2021-07-22T00:00:00Z"/>
        <d v="2021-07-23T00:00:00Z"/>
        <d v="2021-08-06T00:00:00Z"/>
        <d v="2021-08-10T00:00:00Z"/>
        <d v="2021-08-29T00:00:00Z"/>
        <d v="2021-09-01T00:00:00Z"/>
        <d v="2021-09-10T00:00:00Z"/>
        <d v="2021-09-11T00:00:00Z"/>
        <d v="2021-09-21T00:00:00Z"/>
        <d v="2021-10-24T00:00:00Z"/>
        <d v="2021-10-26T00:00:00Z"/>
        <d v="2021-11-11T00:00:00Z"/>
        <d v="2021-11-21T00:00:00Z"/>
        <d v="2021-12-19T00:00:00Z"/>
        <d v="2021-12-24T00:00:00Z"/>
        <d v="2022-01-01T00:00:00Z"/>
        <d v="2022-01-18T00:00:00Z"/>
        <d v="2022-01-23T00:00:00Z"/>
        <d v="2022-03-04T00:00:00Z"/>
        <d v="2022-03-10T00:00:00Z"/>
        <d v="2022-03-19T00:00:00Z"/>
        <d v="2022-03-25T00:00:00Z"/>
        <d v="2022-04-06T00:00:00Z"/>
        <d v="2022-04-09T00:00:00Z"/>
        <d v="2022-04-13T00:00:00Z"/>
        <d v="2022-04-20T00:00:00Z"/>
        <d v="2022-05-01T00:00:00Z"/>
        <d v="2022-05-09T00:00:00Z"/>
        <d v="2022-05-18T00:00:00Z"/>
        <d v="2022-05-28T00:00:00Z"/>
        <d v="2022-05-30T00:00:00Z"/>
        <d v="2022-06-10T00:00:00Z"/>
        <d v="2022-06-15T00:00:00Z"/>
        <d v="2022-07-20T00:00:00Z"/>
        <d v="2022-08-15T00:00:00Z"/>
        <d v="2022-08-26T00:00:00Z"/>
        <d v="2022-08-27T00:00:00Z"/>
        <d v="2022-09-06T00:00:00Z"/>
        <d v="2022-09-19T00:00:00Z"/>
        <d v="2022-09-27T00:00:00Z"/>
        <d v="2022-10-14T00:00:00Z"/>
        <d v="2022-11-01T00:00:00Z"/>
        <d v="2022-11-02T00:00:00Z"/>
        <d v="2022-11-08T00:00:00Z"/>
        <d v="2022-11-13T00:00:00Z"/>
        <d v="2021-01-01T00:00:00Z"/>
        <d v="2021-01-11T00:00:00Z"/>
      </sharedItems>
    </cacheField>
    <cacheField name="Name" numFmtId="0">
      <sharedItems>
        <s v="RAJ KUMAR"/>
        <s v="RINKU"/>
        <s v="NEERAJ"/>
        <s v="MOHAN"/>
      </sharedItems>
    </cacheField>
    <cacheField name="QUANTITY" numFmtId="0">
      <sharedItems containsSemiMixedTypes="0" containsString="0" containsNumber="1">
        <n v="9.0"/>
        <n v="4.0"/>
        <n v="15.0"/>
        <n v="7.0"/>
        <n v="3.0"/>
        <n v="2.0"/>
        <n v="11.0"/>
        <n v="6.0"/>
        <n v="10.0"/>
        <n v="8.0"/>
        <n v="12.0"/>
        <n v="5.0"/>
        <n v="1.0"/>
        <n v="13.0"/>
        <n v="14.0"/>
        <n v="9.814487"/>
        <n v="9.869584"/>
        <n v="9.924681"/>
        <n v="9.979779"/>
        <n v="10.03488"/>
      </sharedItems>
    </cacheField>
    <cacheField name="PRODUCT ID" numFmtId="0">
      <sharedItems>
        <s v="P0026"/>
        <s v="P0024"/>
        <s v="P0027"/>
        <s v="P0028"/>
        <s v="P0025"/>
      </sharedItems>
    </cacheField>
    <cacheField name="sales type" numFmtId="0">
      <sharedItems>
        <s v="Wholesaler"/>
      </sharedItems>
    </cacheField>
    <cacheField name="PAYMENT MODE" numFmtId="10">
      <sharedItems>
        <s v="Online"/>
        <s v="Cash"/>
      </sharedItems>
    </cacheField>
    <cacheField name="DISCOUNT %" numFmtId="10">
      <sharedItems containsSemiMixedTypes="0" containsString="0" containsNumber="1">
        <n v="0.02"/>
        <n v="0.01"/>
        <n v="0.0"/>
        <n v="-0.001"/>
      </sharedItems>
    </cacheField>
    <cacheField name="Buying Price" numFmtId="0">
      <sharedItems containsString="0" containsBlank="1" containsNumber="1">
        <n v="144.0"/>
        <n v="112.0"/>
        <n v="87.0"/>
        <n v="76.0"/>
        <n v="90.0"/>
        <n v="89.0"/>
        <n v="121.0"/>
        <n v="105.0"/>
        <n v="37.0"/>
        <m/>
        <n v="120.0"/>
        <n v="72.0"/>
        <n v="61.0"/>
        <n v="44.0"/>
        <n v="150.0"/>
        <n v="13.0"/>
        <n v="55.0"/>
        <n v="6.0"/>
        <n v="141.0"/>
        <n v="18.0"/>
        <n v="67.0"/>
        <n v="133.0"/>
        <n v="98.0"/>
        <n v="47.0"/>
        <n v="83.0"/>
        <n v="95.0"/>
        <n v="138.0"/>
        <n v="134.0"/>
        <n v="48.0"/>
        <n v="73.0"/>
        <n v="12.0"/>
        <n v="65.0"/>
        <n v="58.86666667"/>
        <n v="52.73333333"/>
        <n v="46.6"/>
        <n v="40.46666667"/>
      </sharedItems>
    </cacheField>
    <cacheField name="Selling Price" numFmtId="0">
      <sharedItems containsSemiMixedTypes="0" containsString="0" containsNumber="1">
        <n v="156.96"/>
        <n v="146.72"/>
        <n v="215.0"/>
        <n v="82.08"/>
        <n v="115.2"/>
        <n v="117.48"/>
        <n v="141.57"/>
        <n v="142.8"/>
        <n v="49.21"/>
        <n v="53.11"/>
        <n v="41.81"/>
        <n v="162.0"/>
        <n v="79.92"/>
        <n v="76.25"/>
        <n v="48.84"/>
        <n v="210.0"/>
        <n v="16.64"/>
        <n v="58.3"/>
        <n v="7.86"/>
        <n v="149.46"/>
        <n v="24.66"/>
        <n v="96.3"/>
        <n v="85.76"/>
        <n v="155.61"/>
        <n v="103.88"/>
        <n v="48.4"/>
        <n v="94.62"/>
        <n v="119.7"/>
        <n v="173.88"/>
        <n v="42.55"/>
        <n v="156.78"/>
        <n v="57.12"/>
        <n v="94.17"/>
        <n v="15.72"/>
        <n v="97.98993159"/>
        <n v="97.87902985"/>
        <n v="97.7681281"/>
        <n v="97.65722636"/>
        <n v="97.54632461"/>
      </sharedItems>
    </cacheField>
    <cacheField name="Total Buying Price" numFmtId="0">
      <sharedItems containsSemiMixedTypes="0" containsString="0" containsNumber="1">
        <n v="1296.0"/>
        <n v="448.0"/>
        <n v="660.0"/>
        <n v="684.0"/>
        <n v="630.0"/>
        <n v="267.0"/>
        <n v="242.0"/>
        <n v="420.0"/>
        <n v="407.0"/>
        <n v="282.0"/>
        <n v="370.0"/>
        <n v="960.0"/>
        <n v="648.0"/>
        <n v="488.0"/>
        <n v="1815.0"/>
        <n v="484.0"/>
        <n v="1068.0"/>
        <n v="750.0"/>
        <n v="13.0"/>
        <n v="330.0"/>
        <n v="24.0"/>
        <n v="1128.0"/>
        <n v="54.0"/>
        <n v="67.0"/>
        <n v="532.0"/>
        <n v="144.0"/>
        <n v="882.0"/>
        <n v="588.0"/>
        <n v="427.0"/>
        <n v="132.0"/>
        <n v="264.0"/>
        <n v="1080.0"/>
        <n v="112.0"/>
        <n v="141.0"/>
        <n v="720.0"/>
        <n v="121.0"/>
        <n v="747.0"/>
        <n v="525.0"/>
        <n v="234.0"/>
        <n v="1140.0"/>
        <n v="828.0"/>
        <n v="196.0"/>
        <n v="180.0"/>
        <n v="444.0"/>
        <n v="182.0"/>
        <n v="74.0"/>
        <n v="495.0"/>
        <n v="1608.0"/>
        <n v="192.0"/>
        <n v="576.0"/>
        <n v="415.0"/>
        <n v="1380.0"/>
        <n v="296.0"/>
        <n v="1800.0"/>
        <n v="440.0"/>
        <n v="1950.0"/>
        <n v="555.0"/>
        <n v="1596.0"/>
        <n v="760.0"/>
        <n v="216.0"/>
        <n v="1095.0"/>
        <n v="1500.0"/>
        <n v="990.0"/>
        <n v="480.0"/>
        <n v="801.8269618"/>
        <n v="806.6374916"/>
        <n v="811.4480215"/>
        <n v="816.2585513"/>
        <n v="821.0690812"/>
      </sharedItems>
    </cacheField>
    <cacheField name="Total Selling Price" numFmtId="0">
      <sharedItems containsSemiMixedTypes="0" containsString="0" containsNumber="1">
        <n v="1384.4"/>
        <n v="581.0"/>
        <n v="732.6"/>
        <n v="738.7"/>
        <n v="806.4"/>
        <n v="352.4"/>
        <n v="283.1"/>
        <n v="571.2"/>
        <n v="541.3"/>
        <n v="318.7"/>
        <n v="418.1"/>
        <n v="1296.0"/>
        <n v="719.3"/>
        <n v="610.0"/>
        <n v="2123.6"/>
        <n v="537.2"/>
        <n v="1409.8"/>
        <n v="1050.0"/>
        <n v="16.6"/>
        <n v="349.8"/>
        <n v="31.4"/>
        <n v="1195.7"/>
        <n v="74.0"/>
        <n v="674.1"/>
        <n v="85.8"/>
        <n v="622.4"/>
        <n v="699.6"/>
        <n v="157.0"/>
        <n v="934.9"/>
        <n v="623.3"/>
        <n v="533.8"/>
        <n v="145.2"/>
        <n v="293.0"/>
        <n v="1382.4"/>
        <n v="146.7"/>
        <n v="159.3"/>
        <n v="770.4"/>
        <n v="141.6"/>
        <n v="851.6"/>
        <n v="714.0"/>
        <n v="320.6"/>
        <n v="1436.4"/>
        <n v="1043.3"/>
        <n v="207.8"/>
        <n v="230.4"/>
        <n v="510.6"/>
        <n v="233.0"/>
        <n v="98.4"/>
        <n v="524.7"/>
        <n v="1881.4"/>
        <n v="228.5"/>
        <n v="639.4"/>
        <n v="473.1"/>
        <n v="1738.8"/>
        <n v="334.5"/>
        <n v="2430.0"/>
        <n v="484.0"/>
        <n v="2730.0"/>
        <n v="638.3"/>
        <n v="1867.3"/>
        <n v="957.6"/>
        <n v="239.8"/>
        <n v="1231.2"/>
        <n v="1412.6"/>
        <n v="235.8"/>
        <n v="2100.0"/>
        <n v="1059.3"/>
        <n v="1001.2"/>
        <n v="1007.8"/>
        <n v="1014.5"/>
        <n v="1021.1"/>
        <n v="1027.7"/>
      </sharedItems>
    </cacheField>
    <cacheField name="Month" numFmtId="0">
      <sharedItems>
        <s v="Jan"/>
        <s v="Feb"/>
        <s v="Mar"/>
        <s v="Apr"/>
        <s v="Jun"/>
        <s v="Jul"/>
        <s v="Aug"/>
        <s v="Sep"/>
        <s v="Oct"/>
        <s v="Nov"/>
        <s v="Dec"/>
        <s v="May"/>
      </sharedItems>
    </cacheField>
    <cacheField name="Profit" numFmtId="0">
      <sharedItems containsSemiMixedTypes="0" containsString="0" containsNumber="1" containsInteger="1">
        <n v="88.0"/>
        <n v="133.0"/>
        <n v="73.0"/>
        <n v="55.0"/>
        <n v="176.0"/>
        <n v="85.0"/>
        <n v="41.0"/>
        <n v="151.0"/>
        <n v="134.0"/>
        <n v="37.0"/>
        <n v="48.0"/>
        <n v="336.0"/>
        <n v="71.0"/>
        <n v="122.0"/>
        <n v="309.0"/>
        <n v="53.0"/>
        <n v="342.0"/>
        <n v="300.0"/>
        <n v="4.0"/>
        <n v="20.0"/>
        <n v="7.0"/>
        <n v="68.0"/>
        <n v="44.0"/>
        <n v="19.0"/>
        <n v="90.0"/>
        <n v="40.0"/>
        <n v="13.0"/>
        <n v="35.0"/>
        <n v="107.0"/>
        <n v="29.0"/>
        <n v="302.0"/>
        <n v="18.0"/>
        <n v="50.0"/>
        <n v="21.0"/>
        <n v="105.0"/>
        <n v="189.0"/>
        <n v="87.0"/>
        <n v="296.0"/>
        <n v="215.0"/>
        <n v="12.0"/>
        <n v="67.0"/>
        <n v="51.0"/>
        <n v="24.0"/>
        <n v="30.0"/>
        <n v="273.0"/>
        <n v="36.0"/>
        <n v="63.0"/>
        <n v="58.0"/>
        <n v="359.0"/>
        <n v="38.0"/>
        <n v="630.0"/>
        <n v="780.0"/>
        <n v="83.0"/>
        <n v="271.0"/>
        <n v="198.0"/>
        <n v="91.0"/>
        <n v="318.0"/>
        <n v="56.0"/>
        <n v="600.0"/>
        <n v="69.0"/>
        <n v="199.0"/>
        <n v="201.0"/>
        <n v="203.0"/>
        <n v="205.0"/>
        <n v="207.0"/>
      </sharedItems>
    </cacheField>
    <cacheField name="id2" databaseField="0">
      <fieldGroup base="0">
        <rangePr autoStart="0" autoEnd="0" groupBy="months" startDate="1903-04-15T00:00:00Z" endDate="1903-06-30T00:00:00Z"/>
        <groupItems>
          <s v="&lt;04/15/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30/03"/>
        </groupItems>
      </fieldGroup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7" sheet="Sheet1"/>
  </cacheSource>
  <cacheFields>
    <cacheField name="ID" numFmtId="164">
      <sharedItems containsSemiMixedTypes="0" containsNonDate="0" containsDate="1" containsString="0">
        <d v="1903-04-15T00:00:00Z"/>
        <d v="1903-04-16T00:00:00Z"/>
        <d v="1903-04-17T00:00:00Z"/>
        <d v="1903-04-18T00:00:00Z"/>
        <d v="1903-04-19T00:00:00Z"/>
        <d v="1903-04-20T00:00:00Z"/>
        <d v="1903-04-21T00:00:00Z"/>
        <d v="1903-04-22T00:00:00Z"/>
        <d v="1903-04-23T00:00:00Z"/>
        <d v="1903-04-24T00:00:00Z"/>
        <d v="1903-04-25T00:00:00Z"/>
        <d v="1903-04-26T00:00:00Z"/>
        <d v="1903-04-27T00:00:00Z"/>
        <d v="1903-04-28T00:00:00Z"/>
        <d v="1903-04-29T00:00:00Z"/>
        <d v="1903-04-30T00:00:00Z"/>
        <d v="1903-05-01T00:00:00Z"/>
        <d v="1903-05-02T00:00:00Z"/>
        <d v="1903-05-03T00:00:00Z"/>
        <d v="1903-05-04T00:00:00Z"/>
        <d v="1903-05-05T00:00:00Z"/>
        <d v="1903-05-06T00:00:00Z"/>
        <d v="1903-05-07T00:00:00Z"/>
        <d v="1903-05-08T00:00:00Z"/>
        <d v="1903-05-09T00:00:00Z"/>
        <d v="1903-05-10T00:00:00Z"/>
        <d v="1903-05-11T00:00:00Z"/>
        <d v="1903-05-12T00:00:00Z"/>
        <d v="1903-05-13T00:00:00Z"/>
        <d v="1903-05-14T00:00:00Z"/>
        <d v="1903-05-16T00:00:00Z"/>
        <d v="1903-05-17T00:00:00Z"/>
        <d v="1903-05-18T00:00:00Z"/>
        <d v="1903-05-19T00:00:00Z"/>
        <d v="1903-05-20T00:00:00Z"/>
        <d v="1903-05-21T00:00:00Z"/>
        <d v="1903-05-22T00:00:00Z"/>
        <d v="1903-05-23T00:00:00Z"/>
        <d v="1903-05-24T00:00:00Z"/>
        <d v="1903-05-25T00:00:00Z"/>
        <d v="1903-05-26T00:00:00Z"/>
        <d v="1903-05-27T00:00:00Z"/>
        <d v="1903-05-28T00:00:00Z"/>
        <d v="1903-05-29T00:00:00Z"/>
        <d v="1903-05-30T00:00:00Z"/>
        <d v="1903-05-31T00:00:00Z"/>
        <d v="1903-06-01T00:00:00Z"/>
        <d v="1903-06-02T00:00:00Z"/>
        <d v="1903-06-03T00:00:00Z"/>
        <d v="1903-06-04T00:00:00Z"/>
        <d v="1903-06-05T00:00:00Z"/>
        <d v="1903-06-06T00:00:00Z"/>
        <d v="1903-06-07T00:00:00Z"/>
        <d v="1903-06-08T00:00:00Z"/>
        <d v="1903-06-09T00:00:00Z"/>
        <d v="1903-06-10T00:00:00Z"/>
        <d v="1903-06-11T00:00:00Z"/>
        <d v="1903-06-12T00:00:00Z"/>
        <d v="1903-06-13T00:00:00Z"/>
        <d v="1903-06-14T00:00:00Z"/>
        <d v="1903-06-15T00:00:00Z"/>
        <d v="1903-06-16T00:00:00Z"/>
        <d v="1903-06-17T00:00:00Z"/>
        <d v="1903-06-18T00:00:00Z"/>
        <d v="1903-06-19T00:00:00Z"/>
        <d v="1903-06-20T00:00:00Z"/>
        <d v="1903-06-21T00:00:00Z"/>
        <d v="1903-06-22T00:00:00Z"/>
        <d v="1903-06-23T00:00:00Z"/>
        <d v="1903-06-24T00:00:00Z"/>
        <d v="1903-06-25T00:00:00Z"/>
        <d v="1903-06-26T00:00:00Z"/>
        <d v="1903-06-27T00:00:00Z"/>
        <d v="1903-06-28T00:00:00Z"/>
        <d v="1903-06-29T00:00:00Z"/>
      </sharedItems>
      <fieldGroup par="14"/>
    </cacheField>
    <cacheField name="Date" numFmtId="164">
      <sharedItems containsSemiMixedTypes="0" containsDate="1" containsString="0">
        <d v="2021-01-19T00:00:00Z"/>
        <d v="2021-01-20T00:00:00Z"/>
        <d v="2021-01-21T00:00:00Z"/>
        <d v="2021-01-26T00:00:00Z"/>
        <d v="2021-01-27T00:00:00Z"/>
        <d v="2021-02-03T00:00:00Z"/>
        <d v="2021-02-25T00:00:00Z"/>
        <d v="2021-02-27T00:00:00Z"/>
        <d v="2021-03-09T00:00:00Z"/>
        <d v="2021-03-13T00:00:00Z"/>
        <d v="2021-03-18T00:00:00Z"/>
        <d v="2021-04-18T00:00:00Z"/>
        <d v="2021-06-04T00:00:00Z"/>
        <d v="2021-06-05T00:00:00Z"/>
        <d v="2021-06-08T00:00:00Z"/>
        <d v="2021-06-11T00:00:00Z"/>
        <d v="2021-06-16T00:00:00Z"/>
        <d v="2021-06-20T00:00:00Z"/>
        <d v="2021-07-10T00:00:00Z"/>
        <d v="2021-07-11T00:00:00Z"/>
        <d v="2021-07-16T00:00:00Z"/>
        <d v="2021-07-22T00:00:00Z"/>
        <d v="2021-07-23T00:00:00Z"/>
        <d v="2021-08-06T00:00:00Z"/>
        <d v="2021-08-10T00:00:00Z"/>
        <d v="2021-08-29T00:00:00Z"/>
        <d v="2021-09-01T00:00:00Z"/>
        <d v="2021-09-10T00:00:00Z"/>
        <d v="2021-09-11T00:00:00Z"/>
        <d v="2021-09-21T00:00:00Z"/>
        <d v="2021-10-24T00:00:00Z"/>
        <d v="2021-10-26T00:00:00Z"/>
        <d v="2021-11-11T00:00:00Z"/>
        <d v="2021-11-21T00:00:00Z"/>
        <d v="2021-12-19T00:00:00Z"/>
        <d v="2021-12-24T00:00:00Z"/>
        <d v="2022-01-01T00:00:00Z"/>
        <d v="2022-01-18T00:00:00Z"/>
        <d v="2022-01-23T00:00:00Z"/>
        <d v="2022-03-04T00:00:00Z"/>
        <d v="2022-03-10T00:00:00Z"/>
        <d v="2022-03-19T00:00:00Z"/>
        <d v="2022-03-25T00:00:00Z"/>
        <d v="2022-04-06T00:00:00Z"/>
        <d v="2022-04-09T00:00:00Z"/>
        <d v="2022-04-13T00:00:00Z"/>
        <d v="2022-04-20T00:00:00Z"/>
        <d v="2022-05-01T00:00:00Z"/>
        <d v="2022-05-09T00:00:00Z"/>
        <d v="2022-05-18T00:00:00Z"/>
        <d v="2022-05-28T00:00:00Z"/>
        <d v="2022-05-30T00:00:00Z"/>
        <d v="2022-06-10T00:00:00Z"/>
        <d v="2022-06-15T00:00:00Z"/>
        <d v="2022-07-20T00:00:00Z"/>
        <d v="2022-08-15T00:00:00Z"/>
        <d v="2022-08-26T00:00:00Z"/>
        <d v="2022-08-27T00:00:00Z"/>
        <d v="2022-09-06T00:00:00Z"/>
        <d v="2022-09-19T00:00:00Z"/>
        <d v="2022-09-27T00:00:00Z"/>
        <d v="2022-10-14T00:00:00Z"/>
        <d v="2022-11-01T00:00:00Z"/>
        <d v="2022-11-02T00:00:00Z"/>
        <d v="2022-11-08T00:00:00Z"/>
        <d v="2022-11-13T00:00:00Z"/>
        <d v="2021-01-01T00:00:00Z"/>
        <d v="2021-01-11T00:00:00Z"/>
      </sharedItems>
    </cacheField>
    <cacheField name="Name" numFmtId="0">
      <sharedItems>
        <s v="RAJ KUMAR"/>
        <s v="RINKU"/>
        <s v="NEERAJ"/>
        <s v="MOHAN"/>
      </sharedItems>
    </cacheField>
    <cacheField name="QUANTITY" numFmtId="0">
      <sharedItems containsSemiMixedTypes="0" containsString="0" containsNumber="1">
        <n v="9.0"/>
        <n v="4.0"/>
        <n v="15.0"/>
        <n v="7.0"/>
        <n v="3.0"/>
        <n v="2.0"/>
        <n v="11.0"/>
        <n v="6.0"/>
        <n v="10.0"/>
        <n v="8.0"/>
        <n v="12.0"/>
        <n v="5.0"/>
        <n v="1.0"/>
        <n v="13.0"/>
        <n v="14.0"/>
        <n v="9.814487"/>
        <n v="9.869584"/>
        <n v="9.924681"/>
        <n v="9.979779"/>
        <n v="10.03488"/>
      </sharedItems>
    </cacheField>
    <cacheField name="PRODUCT ID" numFmtId="0">
      <sharedItems>
        <s v="P0026"/>
        <s v="P0024"/>
        <s v="P0027"/>
        <s v="P0028"/>
        <s v="P0025"/>
      </sharedItems>
    </cacheField>
    <cacheField name="sales type" numFmtId="0">
      <sharedItems>
        <s v="Wholesaler"/>
      </sharedItems>
    </cacheField>
    <cacheField name="PAYMENT MODE" numFmtId="10">
      <sharedItems>
        <s v="Online"/>
        <s v="Cash"/>
      </sharedItems>
    </cacheField>
    <cacheField name="DISCOUNT %" numFmtId="10">
      <sharedItems containsSemiMixedTypes="0" containsString="0" containsNumber="1">
        <n v="0.02"/>
        <n v="0.01"/>
        <n v="0.0"/>
        <n v="-0.001"/>
      </sharedItems>
    </cacheField>
    <cacheField name="Buying Price" numFmtId="0">
      <sharedItems containsString="0" containsBlank="1" containsNumber="1">
        <n v="144.0"/>
        <n v="112.0"/>
        <n v="87.0"/>
        <n v="76.0"/>
        <n v="90.0"/>
        <n v="89.0"/>
        <n v="121.0"/>
        <n v="105.0"/>
        <n v="37.0"/>
        <m/>
        <n v="120.0"/>
        <n v="72.0"/>
        <n v="61.0"/>
        <n v="44.0"/>
        <n v="150.0"/>
        <n v="13.0"/>
        <n v="55.0"/>
        <n v="6.0"/>
        <n v="141.0"/>
        <n v="18.0"/>
        <n v="67.0"/>
        <n v="133.0"/>
        <n v="98.0"/>
        <n v="47.0"/>
        <n v="83.0"/>
        <n v="95.0"/>
        <n v="138.0"/>
        <n v="134.0"/>
        <n v="48.0"/>
        <n v="73.0"/>
        <n v="12.0"/>
        <n v="65.0"/>
        <n v="58.86666667"/>
        <n v="52.73333333"/>
        <n v="46.6"/>
        <n v="40.46666667"/>
      </sharedItems>
    </cacheField>
    <cacheField name="Selling Price" numFmtId="0">
      <sharedItems containsSemiMixedTypes="0" containsString="0" containsNumber="1">
        <n v="156.96"/>
        <n v="146.72"/>
        <n v="215.0"/>
        <n v="82.08"/>
        <n v="115.2"/>
        <n v="117.48"/>
        <n v="141.57"/>
        <n v="142.8"/>
        <n v="49.21"/>
        <n v="53.11"/>
        <n v="41.81"/>
        <n v="162.0"/>
        <n v="79.92"/>
        <n v="76.25"/>
        <n v="48.84"/>
        <n v="210.0"/>
        <n v="16.64"/>
        <n v="58.3"/>
        <n v="7.86"/>
        <n v="149.46"/>
        <n v="24.66"/>
        <n v="96.3"/>
        <n v="85.76"/>
        <n v="155.61"/>
        <n v="103.88"/>
        <n v="48.4"/>
        <n v="94.62"/>
        <n v="119.7"/>
        <n v="173.88"/>
        <n v="42.55"/>
        <n v="156.78"/>
        <n v="57.12"/>
        <n v="94.17"/>
        <n v="15.72"/>
        <n v="97.98993159"/>
        <n v="97.87902985"/>
        <n v="97.7681281"/>
        <n v="97.65722636"/>
        <n v="97.54632461"/>
      </sharedItems>
    </cacheField>
    <cacheField name="Total Buying Price" numFmtId="0">
      <sharedItems containsSemiMixedTypes="0" containsString="0" containsNumber="1">
        <n v="1296.0"/>
        <n v="448.0"/>
        <n v="660.0"/>
        <n v="684.0"/>
        <n v="630.0"/>
        <n v="267.0"/>
        <n v="242.0"/>
        <n v="420.0"/>
        <n v="407.0"/>
        <n v="282.0"/>
        <n v="370.0"/>
        <n v="960.0"/>
        <n v="648.0"/>
        <n v="488.0"/>
        <n v="1815.0"/>
        <n v="484.0"/>
        <n v="1068.0"/>
        <n v="750.0"/>
        <n v="13.0"/>
        <n v="330.0"/>
        <n v="24.0"/>
        <n v="1128.0"/>
        <n v="54.0"/>
        <n v="67.0"/>
        <n v="532.0"/>
        <n v="144.0"/>
        <n v="882.0"/>
        <n v="588.0"/>
        <n v="427.0"/>
        <n v="132.0"/>
        <n v="264.0"/>
        <n v="1080.0"/>
        <n v="112.0"/>
        <n v="141.0"/>
        <n v="720.0"/>
        <n v="121.0"/>
        <n v="747.0"/>
        <n v="525.0"/>
        <n v="234.0"/>
        <n v="1140.0"/>
        <n v="828.0"/>
        <n v="196.0"/>
        <n v="180.0"/>
        <n v="444.0"/>
        <n v="182.0"/>
        <n v="74.0"/>
        <n v="495.0"/>
        <n v="1608.0"/>
        <n v="192.0"/>
        <n v="576.0"/>
        <n v="415.0"/>
        <n v="1380.0"/>
        <n v="296.0"/>
        <n v="1800.0"/>
        <n v="440.0"/>
        <n v="1950.0"/>
        <n v="555.0"/>
        <n v="1596.0"/>
        <n v="760.0"/>
        <n v="216.0"/>
        <n v="1095.0"/>
        <n v="1500.0"/>
        <n v="990.0"/>
        <n v="480.0"/>
        <n v="801.8269618"/>
        <n v="806.6374916"/>
        <n v="811.4480215"/>
        <n v="816.2585513"/>
        <n v="821.0690812"/>
      </sharedItems>
    </cacheField>
    <cacheField name="Total Selling Price" numFmtId="0">
      <sharedItems containsSemiMixedTypes="0" containsString="0" containsNumber="1">
        <n v="1384.4"/>
        <n v="581.0"/>
        <n v="732.6"/>
        <n v="738.7"/>
        <n v="806.4"/>
        <n v="352.4"/>
        <n v="283.1"/>
        <n v="571.2"/>
        <n v="541.3"/>
        <n v="318.7"/>
        <n v="418.1"/>
        <n v="1296.0"/>
        <n v="719.3"/>
        <n v="610.0"/>
        <n v="2123.6"/>
        <n v="537.2"/>
        <n v="1409.8"/>
        <n v="1050.0"/>
        <n v="16.6"/>
        <n v="349.8"/>
        <n v="31.4"/>
        <n v="1195.7"/>
        <n v="74.0"/>
        <n v="674.1"/>
        <n v="85.8"/>
        <n v="622.4"/>
        <n v="699.6"/>
        <n v="157.0"/>
        <n v="934.9"/>
        <n v="623.3"/>
        <n v="533.8"/>
        <n v="145.2"/>
        <n v="293.0"/>
        <n v="1382.4"/>
        <n v="146.7"/>
        <n v="159.3"/>
        <n v="770.4"/>
        <n v="141.6"/>
        <n v="851.6"/>
        <n v="714.0"/>
        <n v="320.6"/>
        <n v="1436.4"/>
        <n v="1043.3"/>
        <n v="207.8"/>
        <n v="230.4"/>
        <n v="510.6"/>
        <n v="233.0"/>
        <n v="98.4"/>
        <n v="524.7"/>
        <n v="1881.4"/>
        <n v="228.5"/>
        <n v="639.4"/>
        <n v="473.1"/>
        <n v="1738.8"/>
        <n v="334.5"/>
        <n v="2430.0"/>
        <n v="484.0"/>
        <n v="2730.0"/>
        <n v="638.3"/>
        <n v="1867.3"/>
        <n v="957.6"/>
        <n v="239.8"/>
        <n v="1231.2"/>
        <n v="1412.6"/>
        <n v="235.8"/>
        <n v="2100.0"/>
        <n v="1059.3"/>
        <n v="1001.2"/>
        <n v="1007.8"/>
        <n v="1014.5"/>
        <n v="1021.1"/>
        <n v="1027.7"/>
      </sharedItems>
    </cacheField>
    <cacheField name="Month" numFmtId="0">
      <sharedItems>
        <s v="Jan"/>
        <s v="Feb"/>
        <s v="Mar"/>
        <s v="Apr"/>
        <s v="Jun"/>
        <s v="Jul"/>
        <s v="Aug"/>
        <s v="Sep"/>
        <s v="Oct"/>
        <s v="Nov"/>
        <s v="Dec"/>
        <s v="May"/>
      </sharedItems>
    </cacheField>
    <cacheField name="Profit" numFmtId="0">
      <sharedItems containsSemiMixedTypes="0" containsString="0" containsNumber="1" containsInteger="1">
        <n v="88.0"/>
        <n v="133.0"/>
        <n v="73.0"/>
        <n v="55.0"/>
        <n v="176.0"/>
        <n v="85.0"/>
        <n v="41.0"/>
        <n v="151.0"/>
        <n v="134.0"/>
        <n v="37.0"/>
        <n v="48.0"/>
        <n v="336.0"/>
        <n v="71.0"/>
        <n v="122.0"/>
        <n v="309.0"/>
        <n v="53.0"/>
        <n v="342.0"/>
        <n v="300.0"/>
        <n v="4.0"/>
        <n v="20.0"/>
        <n v="7.0"/>
        <n v="68.0"/>
        <n v="44.0"/>
        <n v="19.0"/>
        <n v="90.0"/>
        <n v="40.0"/>
        <n v="13.0"/>
        <n v="35.0"/>
        <n v="107.0"/>
        <n v="29.0"/>
        <n v="302.0"/>
        <n v="18.0"/>
        <n v="50.0"/>
        <n v="21.0"/>
        <n v="105.0"/>
        <n v="189.0"/>
        <n v="87.0"/>
        <n v="296.0"/>
        <n v="215.0"/>
        <n v="12.0"/>
        <n v="67.0"/>
        <n v="51.0"/>
        <n v="24.0"/>
        <n v="30.0"/>
        <n v="273.0"/>
        <n v="36.0"/>
        <n v="63.0"/>
        <n v="58.0"/>
        <n v="359.0"/>
        <n v="38.0"/>
        <n v="630.0"/>
        <n v="780.0"/>
        <n v="83.0"/>
        <n v="271.0"/>
        <n v="198.0"/>
        <n v="91.0"/>
        <n v="318.0"/>
        <n v="56.0"/>
        <n v="600.0"/>
        <n v="69.0"/>
        <n v="199.0"/>
        <n v="201.0"/>
        <n v="203.0"/>
        <n v="205.0"/>
        <n v="207.0"/>
      </sharedItems>
    </cacheField>
    <cacheField name="id2" databaseField="0">
      <fieldGroup base="0">
        <rangePr autoStart="0" autoEnd="0" groupBy="months" startDate="1903-04-15T00:00:00Z" endDate="1903-06-30T00:00:00Z"/>
        <groupItems>
          <s v="&lt;04/15/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30/03"/>
        </groupItems>
      </fieldGroup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7" sheet="Sheet1"/>
  </cacheSource>
  <cacheFields>
    <cacheField name="ID" numFmtId="164">
      <sharedItems containsSemiMixedTypes="0" containsNonDate="0" containsDate="1" containsString="0">
        <d v="1903-04-15T00:00:00Z"/>
        <d v="1903-04-16T00:00:00Z"/>
        <d v="1903-04-17T00:00:00Z"/>
        <d v="1903-04-18T00:00:00Z"/>
        <d v="1903-04-19T00:00:00Z"/>
        <d v="1903-04-20T00:00:00Z"/>
        <d v="1903-04-21T00:00:00Z"/>
        <d v="1903-04-22T00:00:00Z"/>
        <d v="1903-04-23T00:00:00Z"/>
        <d v="1903-04-24T00:00:00Z"/>
        <d v="1903-04-25T00:00:00Z"/>
        <d v="1903-04-26T00:00:00Z"/>
        <d v="1903-04-27T00:00:00Z"/>
        <d v="1903-04-28T00:00:00Z"/>
        <d v="1903-04-29T00:00:00Z"/>
        <d v="1903-04-30T00:00:00Z"/>
        <d v="1903-05-01T00:00:00Z"/>
        <d v="1903-05-02T00:00:00Z"/>
        <d v="1903-05-03T00:00:00Z"/>
        <d v="1903-05-04T00:00:00Z"/>
        <d v="1903-05-05T00:00:00Z"/>
        <d v="1903-05-06T00:00:00Z"/>
        <d v="1903-05-07T00:00:00Z"/>
        <d v="1903-05-08T00:00:00Z"/>
        <d v="1903-05-09T00:00:00Z"/>
        <d v="1903-05-10T00:00:00Z"/>
        <d v="1903-05-11T00:00:00Z"/>
        <d v="1903-05-12T00:00:00Z"/>
        <d v="1903-05-13T00:00:00Z"/>
        <d v="1903-05-14T00:00:00Z"/>
        <d v="1903-05-16T00:00:00Z"/>
        <d v="1903-05-17T00:00:00Z"/>
        <d v="1903-05-18T00:00:00Z"/>
        <d v="1903-05-19T00:00:00Z"/>
        <d v="1903-05-20T00:00:00Z"/>
        <d v="1903-05-21T00:00:00Z"/>
        <d v="1903-05-22T00:00:00Z"/>
        <d v="1903-05-23T00:00:00Z"/>
        <d v="1903-05-24T00:00:00Z"/>
        <d v="1903-05-25T00:00:00Z"/>
        <d v="1903-05-26T00:00:00Z"/>
        <d v="1903-05-27T00:00:00Z"/>
        <d v="1903-05-28T00:00:00Z"/>
        <d v="1903-05-29T00:00:00Z"/>
        <d v="1903-05-30T00:00:00Z"/>
        <d v="1903-05-31T00:00:00Z"/>
        <d v="1903-06-01T00:00:00Z"/>
        <d v="1903-06-02T00:00:00Z"/>
        <d v="1903-06-03T00:00:00Z"/>
        <d v="1903-06-04T00:00:00Z"/>
        <d v="1903-06-05T00:00:00Z"/>
        <d v="1903-06-06T00:00:00Z"/>
        <d v="1903-06-07T00:00:00Z"/>
        <d v="1903-06-08T00:00:00Z"/>
        <d v="1903-06-09T00:00:00Z"/>
        <d v="1903-06-10T00:00:00Z"/>
        <d v="1903-06-11T00:00:00Z"/>
        <d v="1903-06-12T00:00:00Z"/>
        <d v="1903-06-13T00:00:00Z"/>
        <d v="1903-06-14T00:00:00Z"/>
        <d v="1903-06-15T00:00:00Z"/>
        <d v="1903-06-16T00:00:00Z"/>
        <d v="1903-06-17T00:00:00Z"/>
        <d v="1903-06-18T00:00:00Z"/>
        <d v="1903-06-19T00:00:00Z"/>
        <d v="1903-06-20T00:00:00Z"/>
        <d v="1903-06-21T00:00:00Z"/>
        <d v="1903-06-22T00:00:00Z"/>
        <d v="1903-06-23T00:00:00Z"/>
        <d v="1903-06-24T00:00:00Z"/>
        <d v="1903-06-25T00:00:00Z"/>
        <d v="1903-06-26T00:00:00Z"/>
        <d v="1903-06-27T00:00:00Z"/>
        <d v="1903-06-28T00:00:00Z"/>
        <d v="1903-06-29T00:00:00Z"/>
      </sharedItems>
      <fieldGroup par="14"/>
    </cacheField>
    <cacheField name="Date" numFmtId="164">
      <sharedItems containsSemiMixedTypes="0" containsDate="1" containsString="0">
        <d v="2021-01-19T00:00:00Z"/>
        <d v="2021-01-20T00:00:00Z"/>
        <d v="2021-01-21T00:00:00Z"/>
        <d v="2021-01-26T00:00:00Z"/>
        <d v="2021-01-27T00:00:00Z"/>
        <d v="2021-02-03T00:00:00Z"/>
        <d v="2021-02-25T00:00:00Z"/>
        <d v="2021-02-27T00:00:00Z"/>
        <d v="2021-03-09T00:00:00Z"/>
        <d v="2021-03-13T00:00:00Z"/>
        <d v="2021-03-18T00:00:00Z"/>
        <d v="2021-04-18T00:00:00Z"/>
        <d v="2021-06-04T00:00:00Z"/>
        <d v="2021-06-05T00:00:00Z"/>
        <d v="2021-06-08T00:00:00Z"/>
        <d v="2021-06-11T00:00:00Z"/>
        <d v="2021-06-16T00:00:00Z"/>
        <d v="2021-06-20T00:00:00Z"/>
        <d v="2021-07-10T00:00:00Z"/>
        <d v="2021-07-11T00:00:00Z"/>
        <d v="2021-07-16T00:00:00Z"/>
        <d v="2021-07-22T00:00:00Z"/>
        <d v="2021-07-23T00:00:00Z"/>
        <d v="2021-08-06T00:00:00Z"/>
        <d v="2021-08-10T00:00:00Z"/>
        <d v="2021-08-29T00:00:00Z"/>
        <d v="2021-09-01T00:00:00Z"/>
        <d v="2021-09-10T00:00:00Z"/>
        <d v="2021-09-11T00:00:00Z"/>
        <d v="2021-09-21T00:00:00Z"/>
        <d v="2021-10-24T00:00:00Z"/>
        <d v="2021-10-26T00:00:00Z"/>
        <d v="2021-11-11T00:00:00Z"/>
        <d v="2021-11-21T00:00:00Z"/>
        <d v="2021-12-19T00:00:00Z"/>
        <d v="2021-12-24T00:00:00Z"/>
        <d v="2022-01-01T00:00:00Z"/>
        <d v="2022-01-18T00:00:00Z"/>
        <d v="2022-01-23T00:00:00Z"/>
        <d v="2022-03-04T00:00:00Z"/>
        <d v="2022-03-10T00:00:00Z"/>
        <d v="2022-03-19T00:00:00Z"/>
        <d v="2022-03-25T00:00:00Z"/>
        <d v="2022-04-06T00:00:00Z"/>
        <d v="2022-04-09T00:00:00Z"/>
        <d v="2022-04-13T00:00:00Z"/>
        <d v="2022-04-20T00:00:00Z"/>
        <d v="2022-05-01T00:00:00Z"/>
        <d v="2022-05-09T00:00:00Z"/>
        <d v="2022-05-18T00:00:00Z"/>
        <d v="2022-05-28T00:00:00Z"/>
        <d v="2022-05-30T00:00:00Z"/>
        <d v="2022-06-10T00:00:00Z"/>
        <d v="2022-06-15T00:00:00Z"/>
        <d v="2022-07-20T00:00:00Z"/>
        <d v="2022-08-15T00:00:00Z"/>
        <d v="2022-08-26T00:00:00Z"/>
        <d v="2022-08-27T00:00:00Z"/>
        <d v="2022-09-06T00:00:00Z"/>
        <d v="2022-09-19T00:00:00Z"/>
        <d v="2022-09-27T00:00:00Z"/>
        <d v="2022-10-14T00:00:00Z"/>
        <d v="2022-11-01T00:00:00Z"/>
        <d v="2022-11-02T00:00:00Z"/>
        <d v="2022-11-08T00:00:00Z"/>
        <d v="2022-11-13T00:00:00Z"/>
        <d v="2021-01-01T00:00:00Z"/>
        <d v="2021-01-11T00:00:00Z"/>
      </sharedItems>
    </cacheField>
    <cacheField name="Name" numFmtId="0">
      <sharedItems>
        <s v="RAJ KUMAR"/>
        <s v="RINKU"/>
        <s v="NEERAJ"/>
        <s v="MOHAN"/>
      </sharedItems>
    </cacheField>
    <cacheField name="QUANTITY" numFmtId="0">
      <sharedItems containsSemiMixedTypes="0" containsString="0" containsNumber="1">
        <n v="9.0"/>
        <n v="4.0"/>
        <n v="15.0"/>
        <n v="7.0"/>
        <n v="3.0"/>
        <n v="2.0"/>
        <n v="11.0"/>
        <n v="6.0"/>
        <n v="10.0"/>
        <n v="8.0"/>
        <n v="12.0"/>
        <n v="5.0"/>
        <n v="1.0"/>
        <n v="13.0"/>
        <n v="14.0"/>
        <n v="9.814487"/>
        <n v="9.869584"/>
        <n v="9.924681"/>
        <n v="9.979779"/>
        <n v="10.03488"/>
      </sharedItems>
    </cacheField>
    <cacheField name="PRODUCT ID" numFmtId="0">
      <sharedItems>
        <s v="P0026"/>
        <s v="P0024"/>
        <s v="P0027"/>
        <s v="P0028"/>
        <s v="P0025"/>
      </sharedItems>
    </cacheField>
    <cacheField name="sales type" numFmtId="0">
      <sharedItems>
        <s v="Wholesaler"/>
      </sharedItems>
    </cacheField>
    <cacheField name="PAYMENT MODE" numFmtId="10">
      <sharedItems>
        <s v="Online"/>
        <s v="Cash"/>
      </sharedItems>
    </cacheField>
    <cacheField name="DISCOUNT %" numFmtId="10">
      <sharedItems containsSemiMixedTypes="0" containsString="0" containsNumber="1">
        <n v="0.02"/>
        <n v="0.01"/>
        <n v="0.0"/>
        <n v="-0.001"/>
      </sharedItems>
    </cacheField>
    <cacheField name="Buying Price" numFmtId="0">
      <sharedItems containsString="0" containsBlank="1" containsNumber="1">
        <n v="144.0"/>
        <n v="112.0"/>
        <n v="87.0"/>
        <n v="76.0"/>
        <n v="90.0"/>
        <n v="89.0"/>
        <n v="121.0"/>
        <n v="105.0"/>
        <n v="37.0"/>
        <m/>
        <n v="120.0"/>
        <n v="72.0"/>
        <n v="61.0"/>
        <n v="44.0"/>
        <n v="150.0"/>
        <n v="13.0"/>
        <n v="55.0"/>
        <n v="6.0"/>
        <n v="141.0"/>
        <n v="18.0"/>
        <n v="67.0"/>
        <n v="133.0"/>
        <n v="98.0"/>
        <n v="47.0"/>
        <n v="83.0"/>
        <n v="95.0"/>
        <n v="138.0"/>
        <n v="134.0"/>
        <n v="48.0"/>
        <n v="73.0"/>
        <n v="12.0"/>
        <n v="65.0"/>
        <n v="58.86666667"/>
        <n v="52.73333333"/>
        <n v="46.6"/>
        <n v="40.46666667"/>
      </sharedItems>
    </cacheField>
    <cacheField name="Selling Price" numFmtId="0">
      <sharedItems containsSemiMixedTypes="0" containsString="0" containsNumber="1">
        <n v="156.96"/>
        <n v="146.72"/>
        <n v="215.0"/>
        <n v="82.08"/>
        <n v="115.2"/>
        <n v="117.48"/>
        <n v="141.57"/>
        <n v="142.8"/>
        <n v="49.21"/>
        <n v="53.11"/>
        <n v="41.81"/>
        <n v="162.0"/>
        <n v="79.92"/>
        <n v="76.25"/>
        <n v="48.84"/>
        <n v="210.0"/>
        <n v="16.64"/>
        <n v="58.3"/>
        <n v="7.86"/>
        <n v="149.46"/>
        <n v="24.66"/>
        <n v="96.3"/>
        <n v="85.76"/>
        <n v="155.61"/>
        <n v="103.88"/>
        <n v="48.4"/>
        <n v="94.62"/>
        <n v="119.7"/>
        <n v="173.88"/>
        <n v="42.55"/>
        <n v="156.78"/>
        <n v="57.12"/>
        <n v="94.17"/>
        <n v="15.72"/>
        <n v="97.98993159"/>
        <n v="97.87902985"/>
        <n v="97.7681281"/>
        <n v="97.65722636"/>
        <n v="97.54632461"/>
      </sharedItems>
    </cacheField>
    <cacheField name="Total Buying Price" numFmtId="0">
      <sharedItems containsSemiMixedTypes="0" containsString="0" containsNumber="1">
        <n v="1296.0"/>
        <n v="448.0"/>
        <n v="660.0"/>
        <n v="684.0"/>
        <n v="630.0"/>
        <n v="267.0"/>
        <n v="242.0"/>
        <n v="420.0"/>
        <n v="407.0"/>
        <n v="282.0"/>
        <n v="370.0"/>
        <n v="960.0"/>
        <n v="648.0"/>
        <n v="488.0"/>
        <n v="1815.0"/>
        <n v="484.0"/>
        <n v="1068.0"/>
        <n v="750.0"/>
        <n v="13.0"/>
        <n v="330.0"/>
        <n v="24.0"/>
        <n v="1128.0"/>
        <n v="54.0"/>
        <n v="67.0"/>
        <n v="532.0"/>
        <n v="144.0"/>
        <n v="882.0"/>
        <n v="588.0"/>
        <n v="427.0"/>
        <n v="132.0"/>
        <n v="264.0"/>
        <n v="1080.0"/>
        <n v="112.0"/>
        <n v="141.0"/>
        <n v="720.0"/>
        <n v="121.0"/>
        <n v="747.0"/>
        <n v="525.0"/>
        <n v="234.0"/>
        <n v="1140.0"/>
        <n v="828.0"/>
        <n v="196.0"/>
        <n v="180.0"/>
        <n v="444.0"/>
        <n v="182.0"/>
        <n v="74.0"/>
        <n v="495.0"/>
        <n v="1608.0"/>
        <n v="192.0"/>
        <n v="576.0"/>
        <n v="415.0"/>
        <n v="1380.0"/>
        <n v="296.0"/>
        <n v="1800.0"/>
        <n v="440.0"/>
        <n v="1950.0"/>
        <n v="555.0"/>
        <n v="1596.0"/>
        <n v="760.0"/>
        <n v="216.0"/>
        <n v="1095.0"/>
        <n v="1500.0"/>
        <n v="990.0"/>
        <n v="480.0"/>
        <n v="801.8269618"/>
        <n v="806.6374916"/>
        <n v="811.4480215"/>
        <n v="816.2585513"/>
        <n v="821.0690812"/>
      </sharedItems>
    </cacheField>
    <cacheField name="Total Selling Price" numFmtId="0">
      <sharedItems containsSemiMixedTypes="0" containsString="0" containsNumber="1">
        <n v="1384.4"/>
        <n v="581.0"/>
        <n v="732.6"/>
        <n v="738.7"/>
        <n v="806.4"/>
        <n v="352.4"/>
        <n v="283.1"/>
        <n v="571.2"/>
        <n v="541.3"/>
        <n v="318.7"/>
        <n v="418.1"/>
        <n v="1296.0"/>
        <n v="719.3"/>
        <n v="610.0"/>
        <n v="2123.6"/>
        <n v="537.2"/>
        <n v="1409.8"/>
        <n v="1050.0"/>
        <n v="16.6"/>
        <n v="349.8"/>
        <n v="31.4"/>
        <n v="1195.7"/>
        <n v="74.0"/>
        <n v="674.1"/>
        <n v="85.8"/>
        <n v="622.4"/>
        <n v="699.6"/>
        <n v="157.0"/>
        <n v="934.9"/>
        <n v="623.3"/>
        <n v="533.8"/>
        <n v="145.2"/>
        <n v="293.0"/>
        <n v="1382.4"/>
        <n v="146.7"/>
        <n v="159.3"/>
        <n v="770.4"/>
        <n v="141.6"/>
        <n v="851.6"/>
        <n v="714.0"/>
        <n v="320.6"/>
        <n v="1436.4"/>
        <n v="1043.3"/>
        <n v="207.8"/>
        <n v="230.4"/>
        <n v="510.6"/>
        <n v="233.0"/>
        <n v="98.4"/>
        <n v="524.7"/>
        <n v="1881.4"/>
        <n v="228.5"/>
        <n v="639.4"/>
        <n v="473.1"/>
        <n v="1738.8"/>
        <n v="334.5"/>
        <n v="2430.0"/>
        <n v="484.0"/>
        <n v="2730.0"/>
        <n v="638.3"/>
        <n v="1867.3"/>
        <n v="957.6"/>
        <n v="239.8"/>
        <n v="1231.2"/>
        <n v="1412.6"/>
        <n v="235.8"/>
        <n v="2100.0"/>
        <n v="1059.3"/>
        <n v="1001.2"/>
        <n v="1007.8"/>
        <n v="1014.5"/>
        <n v="1021.1"/>
        <n v="1027.7"/>
      </sharedItems>
    </cacheField>
    <cacheField name="Month" numFmtId="0">
      <sharedItems>
        <s v="Jan"/>
        <s v="Feb"/>
        <s v="Mar"/>
        <s v="Apr"/>
        <s v="Jun"/>
        <s v="Jul"/>
        <s v="Aug"/>
        <s v="Sep"/>
        <s v="Oct"/>
        <s v="Nov"/>
        <s v="Dec"/>
        <s v="May"/>
      </sharedItems>
    </cacheField>
    <cacheField name="Profit" numFmtId="0">
      <sharedItems containsSemiMixedTypes="0" containsString="0" containsNumber="1" containsInteger="1">
        <n v="88.0"/>
        <n v="133.0"/>
        <n v="73.0"/>
        <n v="55.0"/>
        <n v="176.0"/>
        <n v="85.0"/>
        <n v="41.0"/>
        <n v="151.0"/>
        <n v="134.0"/>
        <n v="37.0"/>
        <n v="48.0"/>
        <n v="336.0"/>
        <n v="71.0"/>
        <n v="122.0"/>
        <n v="309.0"/>
        <n v="53.0"/>
        <n v="342.0"/>
        <n v="300.0"/>
        <n v="4.0"/>
        <n v="20.0"/>
        <n v="7.0"/>
        <n v="68.0"/>
        <n v="44.0"/>
        <n v="19.0"/>
        <n v="90.0"/>
        <n v="40.0"/>
        <n v="13.0"/>
        <n v="35.0"/>
        <n v="107.0"/>
        <n v="29.0"/>
        <n v="302.0"/>
        <n v="18.0"/>
        <n v="50.0"/>
        <n v="21.0"/>
        <n v="105.0"/>
        <n v="189.0"/>
        <n v="87.0"/>
        <n v="296.0"/>
        <n v="215.0"/>
        <n v="12.0"/>
        <n v="67.0"/>
        <n v="51.0"/>
        <n v="24.0"/>
        <n v="30.0"/>
        <n v="273.0"/>
        <n v="36.0"/>
        <n v="63.0"/>
        <n v="58.0"/>
        <n v="359.0"/>
        <n v="38.0"/>
        <n v="630.0"/>
        <n v="780.0"/>
        <n v="83.0"/>
        <n v="271.0"/>
        <n v="198.0"/>
        <n v="91.0"/>
        <n v="318.0"/>
        <n v="56.0"/>
        <n v="600.0"/>
        <n v="69.0"/>
        <n v="199.0"/>
        <n v="201.0"/>
        <n v="203.0"/>
        <n v="205.0"/>
        <n v="207.0"/>
      </sharedItems>
    </cacheField>
    <cacheField name="id2" databaseField="0">
      <fieldGroup base="0">
        <rangePr autoStart="0" autoEnd="0" groupBy="months" startDate="1903-04-15T00:00:00Z" endDate="1903-06-30T00:00:00Z"/>
        <groupItems>
          <s v="&lt;04/15/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30/03"/>
        </groupItems>
      </fieldGroup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7" sheet="Sheet1"/>
  </cacheSource>
  <cacheFields>
    <cacheField name="ID" numFmtId="164">
      <sharedItems containsSemiMixedTypes="0" containsNonDate="0" containsDate="1" containsString="0">
        <d v="1903-04-15T00:00:00Z"/>
        <d v="1903-04-16T00:00:00Z"/>
        <d v="1903-04-17T00:00:00Z"/>
        <d v="1903-04-18T00:00:00Z"/>
        <d v="1903-04-19T00:00:00Z"/>
        <d v="1903-04-20T00:00:00Z"/>
        <d v="1903-04-21T00:00:00Z"/>
        <d v="1903-04-22T00:00:00Z"/>
        <d v="1903-04-23T00:00:00Z"/>
        <d v="1903-04-24T00:00:00Z"/>
        <d v="1903-04-25T00:00:00Z"/>
        <d v="1903-04-26T00:00:00Z"/>
        <d v="1903-04-27T00:00:00Z"/>
        <d v="1903-04-28T00:00:00Z"/>
        <d v="1903-04-29T00:00:00Z"/>
        <d v="1903-04-30T00:00:00Z"/>
        <d v="1903-05-01T00:00:00Z"/>
        <d v="1903-05-02T00:00:00Z"/>
        <d v="1903-05-03T00:00:00Z"/>
        <d v="1903-05-04T00:00:00Z"/>
        <d v="1903-05-05T00:00:00Z"/>
        <d v="1903-05-06T00:00:00Z"/>
        <d v="1903-05-07T00:00:00Z"/>
        <d v="1903-05-08T00:00:00Z"/>
        <d v="1903-05-09T00:00:00Z"/>
        <d v="1903-05-10T00:00:00Z"/>
        <d v="1903-05-11T00:00:00Z"/>
        <d v="1903-05-12T00:00:00Z"/>
        <d v="1903-05-13T00:00:00Z"/>
        <d v="1903-05-14T00:00:00Z"/>
        <d v="1903-05-16T00:00:00Z"/>
        <d v="1903-05-17T00:00:00Z"/>
        <d v="1903-05-18T00:00:00Z"/>
        <d v="1903-05-19T00:00:00Z"/>
        <d v="1903-05-20T00:00:00Z"/>
        <d v="1903-05-21T00:00:00Z"/>
        <d v="1903-05-22T00:00:00Z"/>
        <d v="1903-05-23T00:00:00Z"/>
        <d v="1903-05-24T00:00:00Z"/>
        <d v="1903-05-25T00:00:00Z"/>
        <d v="1903-05-26T00:00:00Z"/>
        <d v="1903-05-27T00:00:00Z"/>
        <d v="1903-05-28T00:00:00Z"/>
        <d v="1903-05-29T00:00:00Z"/>
        <d v="1903-05-30T00:00:00Z"/>
        <d v="1903-05-31T00:00:00Z"/>
        <d v="1903-06-01T00:00:00Z"/>
        <d v="1903-06-02T00:00:00Z"/>
        <d v="1903-06-03T00:00:00Z"/>
        <d v="1903-06-04T00:00:00Z"/>
        <d v="1903-06-05T00:00:00Z"/>
        <d v="1903-06-06T00:00:00Z"/>
        <d v="1903-06-07T00:00:00Z"/>
        <d v="1903-06-08T00:00:00Z"/>
        <d v="1903-06-09T00:00:00Z"/>
        <d v="1903-06-10T00:00:00Z"/>
        <d v="1903-06-11T00:00:00Z"/>
        <d v="1903-06-12T00:00:00Z"/>
        <d v="1903-06-13T00:00:00Z"/>
        <d v="1903-06-14T00:00:00Z"/>
        <d v="1903-06-15T00:00:00Z"/>
        <d v="1903-06-16T00:00:00Z"/>
        <d v="1903-06-17T00:00:00Z"/>
        <d v="1903-06-18T00:00:00Z"/>
        <d v="1903-06-19T00:00:00Z"/>
        <d v="1903-06-20T00:00:00Z"/>
        <d v="1903-06-21T00:00:00Z"/>
        <d v="1903-06-22T00:00:00Z"/>
        <d v="1903-06-23T00:00:00Z"/>
        <d v="1903-06-24T00:00:00Z"/>
        <d v="1903-06-25T00:00:00Z"/>
        <d v="1903-06-26T00:00:00Z"/>
        <d v="1903-06-27T00:00:00Z"/>
        <d v="1903-06-28T00:00:00Z"/>
        <d v="1903-06-29T00:00:00Z"/>
      </sharedItems>
      <fieldGroup par="14"/>
    </cacheField>
    <cacheField name="Date" numFmtId="164">
      <sharedItems containsSemiMixedTypes="0" containsDate="1" containsString="0">
        <d v="2021-01-19T00:00:00Z"/>
        <d v="2021-01-20T00:00:00Z"/>
        <d v="2021-01-21T00:00:00Z"/>
        <d v="2021-01-26T00:00:00Z"/>
        <d v="2021-01-27T00:00:00Z"/>
        <d v="2021-02-03T00:00:00Z"/>
        <d v="2021-02-25T00:00:00Z"/>
        <d v="2021-02-27T00:00:00Z"/>
        <d v="2021-03-09T00:00:00Z"/>
        <d v="2021-03-13T00:00:00Z"/>
        <d v="2021-03-18T00:00:00Z"/>
        <d v="2021-04-18T00:00:00Z"/>
        <d v="2021-06-04T00:00:00Z"/>
        <d v="2021-06-05T00:00:00Z"/>
        <d v="2021-06-08T00:00:00Z"/>
        <d v="2021-06-11T00:00:00Z"/>
        <d v="2021-06-16T00:00:00Z"/>
        <d v="2021-06-20T00:00:00Z"/>
        <d v="2021-07-10T00:00:00Z"/>
        <d v="2021-07-11T00:00:00Z"/>
        <d v="2021-07-16T00:00:00Z"/>
        <d v="2021-07-22T00:00:00Z"/>
        <d v="2021-07-23T00:00:00Z"/>
        <d v="2021-08-06T00:00:00Z"/>
        <d v="2021-08-10T00:00:00Z"/>
        <d v="2021-08-29T00:00:00Z"/>
        <d v="2021-09-01T00:00:00Z"/>
        <d v="2021-09-10T00:00:00Z"/>
        <d v="2021-09-11T00:00:00Z"/>
        <d v="2021-09-21T00:00:00Z"/>
        <d v="2021-10-24T00:00:00Z"/>
        <d v="2021-10-26T00:00:00Z"/>
        <d v="2021-11-11T00:00:00Z"/>
        <d v="2021-11-21T00:00:00Z"/>
        <d v="2021-12-19T00:00:00Z"/>
        <d v="2021-12-24T00:00:00Z"/>
        <d v="2022-01-01T00:00:00Z"/>
        <d v="2022-01-18T00:00:00Z"/>
        <d v="2022-01-23T00:00:00Z"/>
        <d v="2022-03-04T00:00:00Z"/>
        <d v="2022-03-10T00:00:00Z"/>
        <d v="2022-03-19T00:00:00Z"/>
        <d v="2022-03-25T00:00:00Z"/>
        <d v="2022-04-06T00:00:00Z"/>
        <d v="2022-04-09T00:00:00Z"/>
        <d v="2022-04-13T00:00:00Z"/>
        <d v="2022-04-20T00:00:00Z"/>
        <d v="2022-05-01T00:00:00Z"/>
        <d v="2022-05-09T00:00:00Z"/>
        <d v="2022-05-18T00:00:00Z"/>
        <d v="2022-05-28T00:00:00Z"/>
        <d v="2022-05-30T00:00:00Z"/>
        <d v="2022-06-10T00:00:00Z"/>
        <d v="2022-06-15T00:00:00Z"/>
        <d v="2022-07-20T00:00:00Z"/>
        <d v="2022-08-15T00:00:00Z"/>
        <d v="2022-08-26T00:00:00Z"/>
        <d v="2022-08-27T00:00:00Z"/>
        <d v="2022-09-06T00:00:00Z"/>
        <d v="2022-09-19T00:00:00Z"/>
        <d v="2022-09-27T00:00:00Z"/>
        <d v="2022-10-14T00:00:00Z"/>
        <d v="2022-11-01T00:00:00Z"/>
        <d v="2022-11-02T00:00:00Z"/>
        <d v="2022-11-08T00:00:00Z"/>
        <d v="2022-11-13T00:00:00Z"/>
        <d v="2021-01-01T00:00:00Z"/>
        <d v="2021-01-11T00:00:00Z"/>
      </sharedItems>
    </cacheField>
    <cacheField name="Name" numFmtId="0">
      <sharedItems>
        <s v="RAJ KUMAR"/>
        <s v="RINKU"/>
        <s v="NEERAJ"/>
        <s v="MOHAN"/>
      </sharedItems>
    </cacheField>
    <cacheField name="QUANTITY" numFmtId="0">
      <sharedItems containsSemiMixedTypes="0" containsString="0" containsNumber="1">
        <n v="9.0"/>
        <n v="4.0"/>
        <n v="15.0"/>
        <n v="7.0"/>
        <n v="3.0"/>
        <n v="2.0"/>
        <n v="11.0"/>
        <n v="6.0"/>
        <n v="10.0"/>
        <n v="8.0"/>
        <n v="12.0"/>
        <n v="5.0"/>
        <n v="1.0"/>
        <n v="13.0"/>
        <n v="14.0"/>
        <n v="9.814487"/>
        <n v="9.869584"/>
        <n v="9.924681"/>
        <n v="9.979779"/>
        <n v="10.03488"/>
      </sharedItems>
    </cacheField>
    <cacheField name="PRODUCT ID" numFmtId="0">
      <sharedItems>
        <s v="P0026"/>
        <s v="P0024"/>
        <s v="P0027"/>
        <s v="P0028"/>
        <s v="P0025"/>
      </sharedItems>
    </cacheField>
    <cacheField name="sales type" numFmtId="0">
      <sharedItems>
        <s v="Wholesaler"/>
      </sharedItems>
    </cacheField>
    <cacheField name="PAYMENT MODE" numFmtId="10">
      <sharedItems>
        <s v="Online"/>
        <s v="Cash"/>
      </sharedItems>
    </cacheField>
    <cacheField name="DISCOUNT %" numFmtId="10">
      <sharedItems containsSemiMixedTypes="0" containsString="0" containsNumber="1">
        <n v="0.02"/>
        <n v="0.01"/>
        <n v="0.0"/>
        <n v="-0.001"/>
      </sharedItems>
    </cacheField>
    <cacheField name="Buying Price" numFmtId="0">
      <sharedItems containsString="0" containsBlank="1" containsNumber="1">
        <n v="144.0"/>
        <n v="112.0"/>
        <n v="87.0"/>
        <n v="76.0"/>
        <n v="90.0"/>
        <n v="89.0"/>
        <n v="121.0"/>
        <n v="105.0"/>
        <n v="37.0"/>
        <m/>
        <n v="120.0"/>
        <n v="72.0"/>
        <n v="61.0"/>
        <n v="44.0"/>
        <n v="150.0"/>
        <n v="13.0"/>
        <n v="55.0"/>
        <n v="6.0"/>
        <n v="141.0"/>
        <n v="18.0"/>
        <n v="67.0"/>
        <n v="133.0"/>
        <n v="98.0"/>
        <n v="47.0"/>
        <n v="83.0"/>
        <n v="95.0"/>
        <n v="138.0"/>
        <n v="134.0"/>
        <n v="48.0"/>
        <n v="73.0"/>
        <n v="12.0"/>
        <n v="65.0"/>
        <n v="58.86666667"/>
        <n v="52.73333333"/>
        <n v="46.6"/>
        <n v="40.46666667"/>
      </sharedItems>
    </cacheField>
    <cacheField name="Selling Price" numFmtId="0">
      <sharedItems containsSemiMixedTypes="0" containsString="0" containsNumber="1">
        <n v="156.96"/>
        <n v="146.72"/>
        <n v="215.0"/>
        <n v="82.08"/>
        <n v="115.2"/>
        <n v="117.48"/>
        <n v="141.57"/>
        <n v="142.8"/>
        <n v="49.21"/>
        <n v="53.11"/>
        <n v="41.81"/>
        <n v="162.0"/>
        <n v="79.92"/>
        <n v="76.25"/>
        <n v="48.84"/>
        <n v="210.0"/>
        <n v="16.64"/>
        <n v="58.3"/>
        <n v="7.86"/>
        <n v="149.46"/>
        <n v="24.66"/>
        <n v="96.3"/>
        <n v="85.76"/>
        <n v="155.61"/>
        <n v="103.88"/>
        <n v="48.4"/>
        <n v="94.62"/>
        <n v="119.7"/>
        <n v="173.88"/>
        <n v="42.55"/>
        <n v="156.78"/>
        <n v="57.12"/>
        <n v="94.17"/>
        <n v="15.72"/>
        <n v="97.98993159"/>
        <n v="97.87902985"/>
        <n v="97.7681281"/>
        <n v="97.65722636"/>
        <n v="97.54632461"/>
      </sharedItems>
    </cacheField>
    <cacheField name="Total Buying Price" numFmtId="0">
      <sharedItems containsSemiMixedTypes="0" containsString="0" containsNumber="1">
        <n v="1296.0"/>
        <n v="448.0"/>
        <n v="660.0"/>
        <n v="684.0"/>
        <n v="630.0"/>
        <n v="267.0"/>
        <n v="242.0"/>
        <n v="420.0"/>
        <n v="407.0"/>
        <n v="282.0"/>
        <n v="370.0"/>
        <n v="960.0"/>
        <n v="648.0"/>
        <n v="488.0"/>
        <n v="1815.0"/>
        <n v="484.0"/>
        <n v="1068.0"/>
        <n v="750.0"/>
        <n v="13.0"/>
        <n v="330.0"/>
        <n v="24.0"/>
        <n v="1128.0"/>
        <n v="54.0"/>
        <n v="67.0"/>
        <n v="532.0"/>
        <n v="144.0"/>
        <n v="882.0"/>
        <n v="588.0"/>
        <n v="427.0"/>
        <n v="132.0"/>
        <n v="264.0"/>
        <n v="1080.0"/>
        <n v="112.0"/>
        <n v="141.0"/>
        <n v="720.0"/>
        <n v="121.0"/>
        <n v="747.0"/>
        <n v="525.0"/>
        <n v="234.0"/>
        <n v="1140.0"/>
        <n v="828.0"/>
        <n v="196.0"/>
        <n v="180.0"/>
        <n v="444.0"/>
        <n v="182.0"/>
        <n v="74.0"/>
        <n v="495.0"/>
        <n v="1608.0"/>
        <n v="192.0"/>
        <n v="576.0"/>
        <n v="415.0"/>
        <n v="1380.0"/>
        <n v="296.0"/>
        <n v="1800.0"/>
        <n v="440.0"/>
        <n v="1950.0"/>
        <n v="555.0"/>
        <n v="1596.0"/>
        <n v="760.0"/>
        <n v="216.0"/>
        <n v="1095.0"/>
        <n v="1500.0"/>
        <n v="990.0"/>
        <n v="480.0"/>
        <n v="801.8269618"/>
        <n v="806.6374916"/>
        <n v="811.4480215"/>
        <n v="816.2585513"/>
        <n v="821.0690812"/>
      </sharedItems>
    </cacheField>
    <cacheField name="Total Selling Price" numFmtId="0">
      <sharedItems containsSemiMixedTypes="0" containsString="0" containsNumber="1">
        <n v="1384.4"/>
        <n v="581.0"/>
        <n v="732.6"/>
        <n v="738.7"/>
        <n v="806.4"/>
        <n v="352.4"/>
        <n v="283.1"/>
        <n v="571.2"/>
        <n v="541.3"/>
        <n v="318.7"/>
        <n v="418.1"/>
        <n v="1296.0"/>
        <n v="719.3"/>
        <n v="610.0"/>
        <n v="2123.6"/>
        <n v="537.2"/>
        <n v="1409.8"/>
        <n v="1050.0"/>
        <n v="16.6"/>
        <n v="349.8"/>
        <n v="31.4"/>
        <n v="1195.7"/>
        <n v="74.0"/>
        <n v="674.1"/>
        <n v="85.8"/>
        <n v="622.4"/>
        <n v="699.6"/>
        <n v="157.0"/>
        <n v="934.9"/>
        <n v="623.3"/>
        <n v="533.8"/>
        <n v="145.2"/>
        <n v="293.0"/>
        <n v="1382.4"/>
        <n v="146.7"/>
        <n v="159.3"/>
        <n v="770.4"/>
        <n v="141.6"/>
        <n v="851.6"/>
        <n v="714.0"/>
        <n v="320.6"/>
        <n v="1436.4"/>
        <n v="1043.3"/>
        <n v="207.8"/>
        <n v="230.4"/>
        <n v="510.6"/>
        <n v="233.0"/>
        <n v="98.4"/>
        <n v="524.7"/>
        <n v="1881.4"/>
        <n v="228.5"/>
        <n v="639.4"/>
        <n v="473.1"/>
        <n v="1738.8"/>
        <n v="334.5"/>
        <n v="2430.0"/>
        <n v="484.0"/>
        <n v="2730.0"/>
        <n v="638.3"/>
        <n v="1867.3"/>
        <n v="957.6"/>
        <n v="239.8"/>
        <n v="1231.2"/>
        <n v="1412.6"/>
        <n v="235.8"/>
        <n v="2100.0"/>
        <n v="1059.3"/>
        <n v="1001.2"/>
        <n v="1007.8"/>
        <n v="1014.5"/>
        <n v="1021.1"/>
        <n v="1027.7"/>
      </sharedItems>
    </cacheField>
    <cacheField name="Month" numFmtId="0">
      <sharedItems>
        <s v="Jan"/>
        <s v="Feb"/>
        <s v="Mar"/>
        <s v="Apr"/>
        <s v="Jun"/>
        <s v="Jul"/>
        <s v="Aug"/>
        <s v="Sep"/>
        <s v="Oct"/>
        <s v="Nov"/>
        <s v="Dec"/>
        <s v="May"/>
      </sharedItems>
    </cacheField>
    <cacheField name="Profit" numFmtId="0">
      <sharedItems containsSemiMixedTypes="0" containsString="0" containsNumber="1" containsInteger="1">
        <n v="88.0"/>
        <n v="133.0"/>
        <n v="73.0"/>
        <n v="55.0"/>
        <n v="176.0"/>
        <n v="85.0"/>
        <n v="41.0"/>
        <n v="151.0"/>
        <n v="134.0"/>
        <n v="37.0"/>
        <n v="48.0"/>
        <n v="336.0"/>
        <n v="71.0"/>
        <n v="122.0"/>
        <n v="309.0"/>
        <n v="53.0"/>
        <n v="342.0"/>
        <n v="300.0"/>
        <n v="4.0"/>
        <n v="20.0"/>
        <n v="7.0"/>
        <n v="68.0"/>
        <n v="44.0"/>
        <n v="19.0"/>
        <n v="90.0"/>
        <n v="40.0"/>
        <n v="13.0"/>
        <n v="35.0"/>
        <n v="107.0"/>
        <n v="29.0"/>
        <n v="302.0"/>
        <n v="18.0"/>
        <n v="50.0"/>
        <n v="21.0"/>
        <n v="105.0"/>
        <n v="189.0"/>
        <n v="87.0"/>
        <n v="296.0"/>
        <n v="215.0"/>
        <n v="12.0"/>
        <n v="67.0"/>
        <n v="51.0"/>
        <n v="24.0"/>
        <n v="30.0"/>
        <n v="273.0"/>
        <n v="36.0"/>
        <n v="63.0"/>
        <n v="58.0"/>
        <n v="359.0"/>
        <n v="38.0"/>
        <n v="630.0"/>
        <n v="780.0"/>
        <n v="83.0"/>
        <n v="271.0"/>
        <n v="198.0"/>
        <n v="91.0"/>
        <n v="318.0"/>
        <n v="56.0"/>
        <n v="600.0"/>
        <n v="69.0"/>
        <n v="199.0"/>
        <n v="201.0"/>
        <n v="203.0"/>
        <n v="205.0"/>
        <n v="207.0"/>
      </sharedItems>
    </cacheField>
    <cacheField name="id2" databaseField="0">
      <fieldGroup base="0">
        <rangePr autoStart="0" autoEnd="0" groupBy="months" startDate="1903-04-15T00:00:00Z" endDate="1903-06-30T00:00:00Z"/>
        <groupItems>
          <s v="&lt;04/15/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30/03"/>
        </groupItems>
      </fieldGroup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7" sheet="Sheet1"/>
  </cacheSource>
  <cacheFields>
    <cacheField name="ID" numFmtId="164">
      <sharedItems containsSemiMixedTypes="0" containsNonDate="0" containsDate="1" containsString="0">
        <d v="1903-04-15T00:00:00Z"/>
        <d v="1903-04-16T00:00:00Z"/>
        <d v="1903-04-17T00:00:00Z"/>
        <d v="1903-04-18T00:00:00Z"/>
        <d v="1903-04-19T00:00:00Z"/>
        <d v="1903-04-20T00:00:00Z"/>
        <d v="1903-04-21T00:00:00Z"/>
        <d v="1903-04-22T00:00:00Z"/>
        <d v="1903-04-23T00:00:00Z"/>
        <d v="1903-04-24T00:00:00Z"/>
        <d v="1903-04-25T00:00:00Z"/>
        <d v="1903-04-26T00:00:00Z"/>
        <d v="1903-04-27T00:00:00Z"/>
        <d v="1903-04-28T00:00:00Z"/>
        <d v="1903-04-29T00:00:00Z"/>
        <d v="1903-04-30T00:00:00Z"/>
        <d v="1903-05-01T00:00:00Z"/>
        <d v="1903-05-02T00:00:00Z"/>
        <d v="1903-05-03T00:00:00Z"/>
        <d v="1903-05-04T00:00:00Z"/>
        <d v="1903-05-05T00:00:00Z"/>
        <d v="1903-05-06T00:00:00Z"/>
        <d v="1903-05-07T00:00:00Z"/>
        <d v="1903-05-08T00:00:00Z"/>
        <d v="1903-05-09T00:00:00Z"/>
        <d v="1903-05-10T00:00:00Z"/>
        <d v="1903-05-11T00:00:00Z"/>
        <d v="1903-05-12T00:00:00Z"/>
        <d v="1903-05-13T00:00:00Z"/>
        <d v="1903-05-14T00:00:00Z"/>
        <d v="1903-05-16T00:00:00Z"/>
        <d v="1903-05-17T00:00:00Z"/>
        <d v="1903-05-18T00:00:00Z"/>
        <d v="1903-05-19T00:00:00Z"/>
        <d v="1903-05-20T00:00:00Z"/>
        <d v="1903-05-21T00:00:00Z"/>
        <d v="1903-05-22T00:00:00Z"/>
        <d v="1903-05-23T00:00:00Z"/>
        <d v="1903-05-24T00:00:00Z"/>
        <d v="1903-05-25T00:00:00Z"/>
        <d v="1903-05-26T00:00:00Z"/>
        <d v="1903-05-27T00:00:00Z"/>
        <d v="1903-05-28T00:00:00Z"/>
        <d v="1903-05-29T00:00:00Z"/>
        <d v="1903-05-30T00:00:00Z"/>
        <d v="1903-05-31T00:00:00Z"/>
        <d v="1903-06-01T00:00:00Z"/>
        <d v="1903-06-02T00:00:00Z"/>
        <d v="1903-06-03T00:00:00Z"/>
        <d v="1903-06-04T00:00:00Z"/>
        <d v="1903-06-05T00:00:00Z"/>
        <d v="1903-06-06T00:00:00Z"/>
        <d v="1903-06-07T00:00:00Z"/>
        <d v="1903-06-08T00:00:00Z"/>
        <d v="1903-06-09T00:00:00Z"/>
        <d v="1903-06-10T00:00:00Z"/>
        <d v="1903-06-11T00:00:00Z"/>
        <d v="1903-06-12T00:00:00Z"/>
        <d v="1903-06-13T00:00:00Z"/>
        <d v="1903-06-14T00:00:00Z"/>
        <d v="1903-06-15T00:00:00Z"/>
        <d v="1903-06-16T00:00:00Z"/>
        <d v="1903-06-17T00:00:00Z"/>
        <d v="1903-06-18T00:00:00Z"/>
        <d v="1903-06-19T00:00:00Z"/>
        <d v="1903-06-20T00:00:00Z"/>
        <d v="1903-06-21T00:00:00Z"/>
        <d v="1903-06-22T00:00:00Z"/>
        <d v="1903-06-23T00:00:00Z"/>
        <d v="1903-06-24T00:00:00Z"/>
        <d v="1903-06-25T00:00:00Z"/>
        <d v="1903-06-26T00:00:00Z"/>
        <d v="1903-06-27T00:00:00Z"/>
        <d v="1903-06-28T00:00:00Z"/>
        <d v="1903-06-29T00:00:00Z"/>
      </sharedItems>
      <fieldGroup par="14"/>
    </cacheField>
    <cacheField name="Date" numFmtId="164">
      <sharedItems containsSemiMixedTypes="0" containsDate="1" containsString="0">
        <d v="2021-01-19T00:00:00Z"/>
        <d v="2021-01-20T00:00:00Z"/>
        <d v="2021-01-21T00:00:00Z"/>
        <d v="2021-01-26T00:00:00Z"/>
        <d v="2021-01-27T00:00:00Z"/>
        <d v="2021-02-03T00:00:00Z"/>
        <d v="2021-02-25T00:00:00Z"/>
        <d v="2021-02-27T00:00:00Z"/>
        <d v="2021-03-09T00:00:00Z"/>
        <d v="2021-03-13T00:00:00Z"/>
        <d v="2021-03-18T00:00:00Z"/>
        <d v="2021-04-18T00:00:00Z"/>
        <d v="2021-06-04T00:00:00Z"/>
        <d v="2021-06-05T00:00:00Z"/>
        <d v="2021-06-08T00:00:00Z"/>
        <d v="2021-06-11T00:00:00Z"/>
        <d v="2021-06-16T00:00:00Z"/>
        <d v="2021-06-20T00:00:00Z"/>
        <d v="2021-07-10T00:00:00Z"/>
        <d v="2021-07-11T00:00:00Z"/>
        <d v="2021-07-16T00:00:00Z"/>
        <d v="2021-07-22T00:00:00Z"/>
        <d v="2021-07-23T00:00:00Z"/>
        <d v="2021-08-06T00:00:00Z"/>
        <d v="2021-08-10T00:00:00Z"/>
        <d v="2021-08-29T00:00:00Z"/>
        <d v="2021-09-01T00:00:00Z"/>
        <d v="2021-09-10T00:00:00Z"/>
        <d v="2021-09-11T00:00:00Z"/>
        <d v="2021-09-21T00:00:00Z"/>
        <d v="2021-10-24T00:00:00Z"/>
        <d v="2021-10-26T00:00:00Z"/>
        <d v="2021-11-11T00:00:00Z"/>
        <d v="2021-11-21T00:00:00Z"/>
        <d v="2021-12-19T00:00:00Z"/>
        <d v="2021-12-24T00:00:00Z"/>
        <d v="2022-01-01T00:00:00Z"/>
        <d v="2022-01-18T00:00:00Z"/>
        <d v="2022-01-23T00:00:00Z"/>
        <d v="2022-03-04T00:00:00Z"/>
        <d v="2022-03-10T00:00:00Z"/>
        <d v="2022-03-19T00:00:00Z"/>
        <d v="2022-03-25T00:00:00Z"/>
        <d v="2022-04-06T00:00:00Z"/>
        <d v="2022-04-09T00:00:00Z"/>
        <d v="2022-04-13T00:00:00Z"/>
        <d v="2022-04-20T00:00:00Z"/>
        <d v="2022-05-01T00:00:00Z"/>
        <d v="2022-05-09T00:00:00Z"/>
        <d v="2022-05-18T00:00:00Z"/>
        <d v="2022-05-28T00:00:00Z"/>
        <d v="2022-05-30T00:00:00Z"/>
        <d v="2022-06-10T00:00:00Z"/>
        <d v="2022-06-15T00:00:00Z"/>
        <d v="2022-07-20T00:00:00Z"/>
        <d v="2022-08-15T00:00:00Z"/>
        <d v="2022-08-26T00:00:00Z"/>
        <d v="2022-08-27T00:00:00Z"/>
        <d v="2022-09-06T00:00:00Z"/>
        <d v="2022-09-19T00:00:00Z"/>
        <d v="2022-09-27T00:00:00Z"/>
        <d v="2022-10-14T00:00:00Z"/>
        <d v="2022-11-01T00:00:00Z"/>
        <d v="2022-11-02T00:00:00Z"/>
        <d v="2022-11-08T00:00:00Z"/>
        <d v="2022-11-13T00:00:00Z"/>
        <d v="2021-01-01T00:00:00Z"/>
        <d v="2021-01-11T00:00:00Z"/>
      </sharedItems>
    </cacheField>
    <cacheField name="Name" numFmtId="0">
      <sharedItems>
        <s v="RAJ KUMAR"/>
        <s v="RINKU"/>
        <s v="NEERAJ"/>
        <s v="MOHAN"/>
      </sharedItems>
    </cacheField>
    <cacheField name="QUANTITY" numFmtId="0">
      <sharedItems containsSemiMixedTypes="0" containsString="0" containsNumber="1">
        <n v="9.0"/>
        <n v="4.0"/>
        <n v="15.0"/>
        <n v="7.0"/>
        <n v="3.0"/>
        <n v="2.0"/>
        <n v="11.0"/>
        <n v="6.0"/>
        <n v="10.0"/>
        <n v="8.0"/>
        <n v="12.0"/>
        <n v="5.0"/>
        <n v="1.0"/>
        <n v="13.0"/>
        <n v="14.0"/>
        <n v="9.814487"/>
        <n v="9.869584"/>
        <n v="9.924681"/>
        <n v="9.979779"/>
        <n v="10.03488"/>
      </sharedItems>
    </cacheField>
    <cacheField name="PRODUCT ID" numFmtId="0">
      <sharedItems>
        <s v="P0026"/>
        <s v="P0024"/>
        <s v="P0027"/>
        <s v="P0028"/>
        <s v="P0025"/>
      </sharedItems>
    </cacheField>
    <cacheField name="sales type" numFmtId="0">
      <sharedItems>
        <s v="Wholesaler"/>
      </sharedItems>
    </cacheField>
    <cacheField name="PAYMENT MODE" numFmtId="10">
      <sharedItems>
        <s v="Online"/>
        <s v="Cash"/>
      </sharedItems>
    </cacheField>
    <cacheField name="DISCOUNT %" numFmtId="10">
      <sharedItems containsSemiMixedTypes="0" containsString="0" containsNumber="1">
        <n v="0.02"/>
        <n v="0.01"/>
        <n v="0.0"/>
        <n v="-0.001"/>
      </sharedItems>
    </cacheField>
    <cacheField name="Buying Price" numFmtId="0">
      <sharedItems containsString="0" containsBlank="1" containsNumber="1">
        <n v="144.0"/>
        <n v="112.0"/>
        <n v="87.0"/>
        <n v="76.0"/>
        <n v="90.0"/>
        <n v="89.0"/>
        <n v="121.0"/>
        <n v="105.0"/>
        <n v="37.0"/>
        <m/>
        <n v="120.0"/>
        <n v="72.0"/>
        <n v="61.0"/>
        <n v="44.0"/>
        <n v="150.0"/>
        <n v="13.0"/>
        <n v="55.0"/>
        <n v="6.0"/>
        <n v="141.0"/>
        <n v="18.0"/>
        <n v="67.0"/>
        <n v="133.0"/>
        <n v="98.0"/>
        <n v="47.0"/>
        <n v="83.0"/>
        <n v="95.0"/>
        <n v="138.0"/>
        <n v="134.0"/>
        <n v="48.0"/>
        <n v="73.0"/>
        <n v="12.0"/>
        <n v="65.0"/>
        <n v="58.86666667"/>
        <n v="52.73333333"/>
        <n v="46.6"/>
        <n v="40.46666667"/>
      </sharedItems>
    </cacheField>
    <cacheField name="Selling Price" numFmtId="0">
      <sharedItems containsSemiMixedTypes="0" containsString="0" containsNumber="1">
        <n v="156.96"/>
        <n v="146.72"/>
        <n v="215.0"/>
        <n v="82.08"/>
        <n v="115.2"/>
        <n v="117.48"/>
        <n v="141.57"/>
        <n v="142.8"/>
        <n v="49.21"/>
        <n v="53.11"/>
        <n v="41.81"/>
        <n v="162.0"/>
        <n v="79.92"/>
        <n v="76.25"/>
        <n v="48.84"/>
        <n v="210.0"/>
        <n v="16.64"/>
        <n v="58.3"/>
        <n v="7.86"/>
        <n v="149.46"/>
        <n v="24.66"/>
        <n v="96.3"/>
        <n v="85.76"/>
        <n v="155.61"/>
        <n v="103.88"/>
        <n v="48.4"/>
        <n v="94.62"/>
        <n v="119.7"/>
        <n v="173.88"/>
        <n v="42.55"/>
        <n v="156.78"/>
        <n v="57.12"/>
        <n v="94.17"/>
        <n v="15.72"/>
        <n v="97.98993159"/>
        <n v="97.87902985"/>
        <n v="97.7681281"/>
        <n v="97.65722636"/>
        <n v="97.54632461"/>
      </sharedItems>
    </cacheField>
    <cacheField name="Total Buying Price" numFmtId="0">
      <sharedItems containsSemiMixedTypes="0" containsString="0" containsNumber="1">
        <n v="1296.0"/>
        <n v="448.0"/>
        <n v="660.0"/>
        <n v="684.0"/>
        <n v="630.0"/>
        <n v="267.0"/>
        <n v="242.0"/>
        <n v="420.0"/>
        <n v="407.0"/>
        <n v="282.0"/>
        <n v="370.0"/>
        <n v="960.0"/>
        <n v="648.0"/>
        <n v="488.0"/>
        <n v="1815.0"/>
        <n v="484.0"/>
        <n v="1068.0"/>
        <n v="750.0"/>
        <n v="13.0"/>
        <n v="330.0"/>
        <n v="24.0"/>
        <n v="1128.0"/>
        <n v="54.0"/>
        <n v="67.0"/>
        <n v="532.0"/>
        <n v="144.0"/>
        <n v="882.0"/>
        <n v="588.0"/>
        <n v="427.0"/>
        <n v="132.0"/>
        <n v="264.0"/>
        <n v="1080.0"/>
        <n v="112.0"/>
        <n v="141.0"/>
        <n v="720.0"/>
        <n v="121.0"/>
        <n v="747.0"/>
        <n v="525.0"/>
        <n v="234.0"/>
        <n v="1140.0"/>
        <n v="828.0"/>
        <n v="196.0"/>
        <n v="180.0"/>
        <n v="444.0"/>
        <n v="182.0"/>
        <n v="74.0"/>
        <n v="495.0"/>
        <n v="1608.0"/>
        <n v="192.0"/>
        <n v="576.0"/>
        <n v="415.0"/>
        <n v="1380.0"/>
        <n v="296.0"/>
        <n v="1800.0"/>
        <n v="440.0"/>
        <n v="1950.0"/>
        <n v="555.0"/>
        <n v="1596.0"/>
        <n v="760.0"/>
        <n v="216.0"/>
        <n v="1095.0"/>
        <n v="1500.0"/>
        <n v="990.0"/>
        <n v="480.0"/>
        <n v="801.8269618"/>
        <n v="806.6374916"/>
        <n v="811.4480215"/>
        <n v="816.2585513"/>
        <n v="821.0690812"/>
      </sharedItems>
    </cacheField>
    <cacheField name="Total Selling Price" numFmtId="0">
      <sharedItems containsSemiMixedTypes="0" containsString="0" containsNumber="1">
        <n v="1384.4"/>
        <n v="581.0"/>
        <n v="732.6"/>
        <n v="738.7"/>
        <n v="806.4"/>
        <n v="352.4"/>
        <n v="283.1"/>
        <n v="571.2"/>
        <n v="541.3"/>
        <n v="318.7"/>
        <n v="418.1"/>
        <n v="1296.0"/>
        <n v="719.3"/>
        <n v="610.0"/>
        <n v="2123.6"/>
        <n v="537.2"/>
        <n v="1409.8"/>
        <n v="1050.0"/>
        <n v="16.6"/>
        <n v="349.8"/>
        <n v="31.4"/>
        <n v="1195.7"/>
        <n v="74.0"/>
        <n v="674.1"/>
        <n v="85.8"/>
        <n v="622.4"/>
        <n v="699.6"/>
        <n v="157.0"/>
        <n v="934.9"/>
        <n v="623.3"/>
        <n v="533.8"/>
        <n v="145.2"/>
        <n v="293.0"/>
        <n v="1382.4"/>
        <n v="146.7"/>
        <n v="159.3"/>
        <n v="770.4"/>
        <n v="141.6"/>
        <n v="851.6"/>
        <n v="714.0"/>
        <n v="320.6"/>
        <n v="1436.4"/>
        <n v="1043.3"/>
        <n v="207.8"/>
        <n v="230.4"/>
        <n v="510.6"/>
        <n v="233.0"/>
        <n v="98.4"/>
        <n v="524.7"/>
        <n v="1881.4"/>
        <n v="228.5"/>
        <n v="639.4"/>
        <n v="473.1"/>
        <n v="1738.8"/>
        <n v="334.5"/>
        <n v="2430.0"/>
        <n v="484.0"/>
        <n v="2730.0"/>
        <n v="638.3"/>
        <n v="1867.3"/>
        <n v="957.6"/>
        <n v="239.8"/>
        <n v="1231.2"/>
        <n v="1412.6"/>
        <n v="235.8"/>
        <n v="2100.0"/>
        <n v="1059.3"/>
        <n v="1001.2"/>
        <n v="1007.8"/>
        <n v="1014.5"/>
        <n v="1021.1"/>
        <n v="1027.7"/>
      </sharedItems>
    </cacheField>
    <cacheField name="Month" numFmtId="0">
      <sharedItems>
        <s v="Jan"/>
        <s v="Feb"/>
        <s v="Mar"/>
        <s v="Apr"/>
        <s v="Jun"/>
        <s v="Jul"/>
        <s v="Aug"/>
        <s v="Sep"/>
        <s v="Oct"/>
        <s v="Nov"/>
        <s v="Dec"/>
        <s v="May"/>
      </sharedItems>
    </cacheField>
    <cacheField name="Profit" numFmtId="0">
      <sharedItems containsSemiMixedTypes="0" containsString="0" containsNumber="1" containsInteger="1">
        <n v="88.0"/>
        <n v="133.0"/>
        <n v="73.0"/>
        <n v="55.0"/>
        <n v="176.0"/>
        <n v="85.0"/>
        <n v="41.0"/>
        <n v="151.0"/>
        <n v="134.0"/>
        <n v="37.0"/>
        <n v="48.0"/>
        <n v="336.0"/>
        <n v="71.0"/>
        <n v="122.0"/>
        <n v="309.0"/>
        <n v="53.0"/>
        <n v="342.0"/>
        <n v="300.0"/>
        <n v="4.0"/>
        <n v="20.0"/>
        <n v="7.0"/>
        <n v="68.0"/>
        <n v="44.0"/>
        <n v="19.0"/>
        <n v="90.0"/>
        <n v="40.0"/>
        <n v="13.0"/>
        <n v="35.0"/>
        <n v="107.0"/>
        <n v="29.0"/>
        <n v="302.0"/>
        <n v="18.0"/>
        <n v="50.0"/>
        <n v="21.0"/>
        <n v="105.0"/>
        <n v="189.0"/>
        <n v="87.0"/>
        <n v="296.0"/>
        <n v="215.0"/>
        <n v="12.0"/>
        <n v="67.0"/>
        <n v="51.0"/>
        <n v="24.0"/>
        <n v="30.0"/>
        <n v="273.0"/>
        <n v="36.0"/>
        <n v="63.0"/>
        <n v="58.0"/>
        <n v="359.0"/>
        <n v="38.0"/>
        <n v="630.0"/>
        <n v="780.0"/>
        <n v="83.0"/>
        <n v="271.0"/>
        <n v="198.0"/>
        <n v="91.0"/>
        <n v="318.0"/>
        <n v="56.0"/>
        <n v="600.0"/>
        <n v="69.0"/>
        <n v="199.0"/>
        <n v="201.0"/>
        <n v="203.0"/>
        <n v="205.0"/>
        <n v="207.0"/>
      </sharedItems>
    </cacheField>
    <cacheField name="id2" databaseField="0">
      <fieldGroup base="0">
        <rangePr autoStart="0" autoEnd="0" groupBy="months" startDate="1903-04-15T00:00:00Z" endDate="1903-06-30T00:00:00Z"/>
        <groupItems>
          <s v="&lt;04/15/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30/03"/>
        </groupItems>
      </fieldGroup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7" sheet="Sheet1"/>
  </cacheSource>
  <cacheFields>
    <cacheField name="ID" numFmtId="164">
      <sharedItems containsSemiMixedTypes="0" containsNonDate="0" containsDate="1" containsString="0">
        <d v="1903-04-15T00:00:00Z"/>
        <d v="1903-04-16T00:00:00Z"/>
        <d v="1903-04-17T00:00:00Z"/>
        <d v="1903-04-18T00:00:00Z"/>
        <d v="1903-04-19T00:00:00Z"/>
        <d v="1903-04-20T00:00:00Z"/>
        <d v="1903-04-21T00:00:00Z"/>
        <d v="1903-04-22T00:00:00Z"/>
        <d v="1903-04-23T00:00:00Z"/>
        <d v="1903-04-24T00:00:00Z"/>
        <d v="1903-04-25T00:00:00Z"/>
        <d v="1903-04-26T00:00:00Z"/>
        <d v="1903-04-27T00:00:00Z"/>
        <d v="1903-04-28T00:00:00Z"/>
        <d v="1903-04-29T00:00:00Z"/>
        <d v="1903-04-30T00:00:00Z"/>
        <d v="1903-05-01T00:00:00Z"/>
        <d v="1903-05-02T00:00:00Z"/>
        <d v="1903-05-03T00:00:00Z"/>
        <d v="1903-05-04T00:00:00Z"/>
        <d v="1903-05-05T00:00:00Z"/>
        <d v="1903-05-06T00:00:00Z"/>
        <d v="1903-05-07T00:00:00Z"/>
        <d v="1903-05-08T00:00:00Z"/>
        <d v="1903-05-09T00:00:00Z"/>
        <d v="1903-05-10T00:00:00Z"/>
        <d v="1903-05-11T00:00:00Z"/>
        <d v="1903-05-12T00:00:00Z"/>
        <d v="1903-05-13T00:00:00Z"/>
        <d v="1903-05-14T00:00:00Z"/>
        <d v="1903-05-16T00:00:00Z"/>
        <d v="1903-05-17T00:00:00Z"/>
        <d v="1903-05-18T00:00:00Z"/>
        <d v="1903-05-19T00:00:00Z"/>
        <d v="1903-05-20T00:00:00Z"/>
        <d v="1903-05-21T00:00:00Z"/>
        <d v="1903-05-22T00:00:00Z"/>
        <d v="1903-05-23T00:00:00Z"/>
        <d v="1903-05-24T00:00:00Z"/>
        <d v="1903-05-25T00:00:00Z"/>
        <d v="1903-05-26T00:00:00Z"/>
        <d v="1903-05-27T00:00:00Z"/>
        <d v="1903-05-28T00:00:00Z"/>
        <d v="1903-05-29T00:00:00Z"/>
        <d v="1903-05-30T00:00:00Z"/>
        <d v="1903-05-31T00:00:00Z"/>
        <d v="1903-06-01T00:00:00Z"/>
        <d v="1903-06-02T00:00:00Z"/>
        <d v="1903-06-03T00:00:00Z"/>
        <d v="1903-06-04T00:00:00Z"/>
        <d v="1903-06-05T00:00:00Z"/>
        <d v="1903-06-06T00:00:00Z"/>
        <d v="1903-06-07T00:00:00Z"/>
        <d v="1903-06-08T00:00:00Z"/>
        <d v="1903-06-09T00:00:00Z"/>
        <d v="1903-06-10T00:00:00Z"/>
        <d v="1903-06-11T00:00:00Z"/>
        <d v="1903-06-12T00:00:00Z"/>
        <d v="1903-06-13T00:00:00Z"/>
        <d v="1903-06-14T00:00:00Z"/>
        <d v="1903-06-15T00:00:00Z"/>
        <d v="1903-06-16T00:00:00Z"/>
        <d v="1903-06-17T00:00:00Z"/>
        <d v="1903-06-18T00:00:00Z"/>
        <d v="1903-06-19T00:00:00Z"/>
        <d v="1903-06-20T00:00:00Z"/>
        <d v="1903-06-21T00:00:00Z"/>
        <d v="1903-06-22T00:00:00Z"/>
        <d v="1903-06-23T00:00:00Z"/>
        <d v="1903-06-24T00:00:00Z"/>
        <d v="1903-06-25T00:00:00Z"/>
        <d v="1903-06-26T00:00:00Z"/>
        <d v="1903-06-27T00:00:00Z"/>
        <d v="1903-06-28T00:00:00Z"/>
        <d v="1903-06-29T00:00:00Z"/>
      </sharedItems>
      <fieldGroup par="14"/>
    </cacheField>
    <cacheField name="Date" numFmtId="164">
      <sharedItems containsSemiMixedTypes="0" containsDate="1" containsString="0">
        <d v="2021-01-19T00:00:00Z"/>
        <d v="2021-01-20T00:00:00Z"/>
        <d v="2021-01-21T00:00:00Z"/>
        <d v="2021-01-26T00:00:00Z"/>
        <d v="2021-01-27T00:00:00Z"/>
        <d v="2021-02-03T00:00:00Z"/>
        <d v="2021-02-25T00:00:00Z"/>
        <d v="2021-02-27T00:00:00Z"/>
        <d v="2021-03-09T00:00:00Z"/>
        <d v="2021-03-13T00:00:00Z"/>
        <d v="2021-03-18T00:00:00Z"/>
        <d v="2021-04-18T00:00:00Z"/>
        <d v="2021-06-04T00:00:00Z"/>
        <d v="2021-06-05T00:00:00Z"/>
        <d v="2021-06-08T00:00:00Z"/>
        <d v="2021-06-11T00:00:00Z"/>
        <d v="2021-06-16T00:00:00Z"/>
        <d v="2021-06-20T00:00:00Z"/>
        <d v="2021-07-10T00:00:00Z"/>
        <d v="2021-07-11T00:00:00Z"/>
        <d v="2021-07-16T00:00:00Z"/>
        <d v="2021-07-22T00:00:00Z"/>
        <d v="2021-07-23T00:00:00Z"/>
        <d v="2021-08-06T00:00:00Z"/>
        <d v="2021-08-10T00:00:00Z"/>
        <d v="2021-08-29T00:00:00Z"/>
        <d v="2021-09-01T00:00:00Z"/>
        <d v="2021-09-10T00:00:00Z"/>
        <d v="2021-09-11T00:00:00Z"/>
        <d v="2021-09-21T00:00:00Z"/>
        <d v="2021-10-24T00:00:00Z"/>
        <d v="2021-10-26T00:00:00Z"/>
        <d v="2021-11-11T00:00:00Z"/>
        <d v="2021-11-21T00:00:00Z"/>
        <d v="2021-12-19T00:00:00Z"/>
        <d v="2021-12-24T00:00:00Z"/>
        <d v="2022-01-01T00:00:00Z"/>
        <d v="2022-01-18T00:00:00Z"/>
        <d v="2022-01-23T00:00:00Z"/>
        <d v="2022-03-04T00:00:00Z"/>
        <d v="2022-03-10T00:00:00Z"/>
        <d v="2022-03-19T00:00:00Z"/>
        <d v="2022-03-25T00:00:00Z"/>
        <d v="2022-04-06T00:00:00Z"/>
        <d v="2022-04-09T00:00:00Z"/>
        <d v="2022-04-13T00:00:00Z"/>
        <d v="2022-04-20T00:00:00Z"/>
        <d v="2022-05-01T00:00:00Z"/>
        <d v="2022-05-09T00:00:00Z"/>
        <d v="2022-05-18T00:00:00Z"/>
        <d v="2022-05-28T00:00:00Z"/>
        <d v="2022-05-30T00:00:00Z"/>
        <d v="2022-06-10T00:00:00Z"/>
        <d v="2022-06-15T00:00:00Z"/>
        <d v="2022-07-20T00:00:00Z"/>
        <d v="2022-08-15T00:00:00Z"/>
        <d v="2022-08-26T00:00:00Z"/>
        <d v="2022-08-27T00:00:00Z"/>
        <d v="2022-09-06T00:00:00Z"/>
        <d v="2022-09-19T00:00:00Z"/>
        <d v="2022-09-27T00:00:00Z"/>
        <d v="2022-10-14T00:00:00Z"/>
        <d v="2022-11-01T00:00:00Z"/>
        <d v="2022-11-02T00:00:00Z"/>
        <d v="2022-11-08T00:00:00Z"/>
        <d v="2022-11-13T00:00:00Z"/>
        <d v="2021-01-01T00:00:00Z"/>
        <d v="2021-01-11T00:00:00Z"/>
      </sharedItems>
    </cacheField>
    <cacheField name="Name" numFmtId="0">
      <sharedItems>
        <s v="RAJ KUMAR"/>
        <s v="RINKU"/>
        <s v="NEERAJ"/>
        <s v="MOHAN"/>
      </sharedItems>
    </cacheField>
    <cacheField name="QUANTITY" numFmtId="0">
      <sharedItems containsSemiMixedTypes="0" containsString="0" containsNumber="1">
        <n v="9.0"/>
        <n v="4.0"/>
        <n v="15.0"/>
        <n v="7.0"/>
        <n v="3.0"/>
        <n v="2.0"/>
        <n v="11.0"/>
        <n v="6.0"/>
        <n v="10.0"/>
        <n v="8.0"/>
        <n v="12.0"/>
        <n v="5.0"/>
        <n v="1.0"/>
        <n v="13.0"/>
        <n v="14.0"/>
        <n v="9.814487"/>
        <n v="9.869584"/>
        <n v="9.924681"/>
        <n v="9.979779"/>
        <n v="10.03488"/>
      </sharedItems>
    </cacheField>
    <cacheField name="PRODUCT ID" numFmtId="0">
      <sharedItems>
        <s v="P0026"/>
        <s v="P0024"/>
        <s v="P0027"/>
        <s v="P0028"/>
        <s v="P0025"/>
      </sharedItems>
    </cacheField>
    <cacheField name="sales type" numFmtId="0">
      <sharedItems>
        <s v="Wholesaler"/>
      </sharedItems>
    </cacheField>
    <cacheField name="PAYMENT MODE" numFmtId="10">
      <sharedItems>
        <s v="Online"/>
        <s v="Cash"/>
      </sharedItems>
    </cacheField>
    <cacheField name="DISCOUNT %" numFmtId="10">
      <sharedItems containsSemiMixedTypes="0" containsString="0" containsNumber="1">
        <n v="0.02"/>
        <n v="0.01"/>
        <n v="0.0"/>
        <n v="-0.001"/>
      </sharedItems>
    </cacheField>
    <cacheField name="Buying Price" numFmtId="0">
      <sharedItems containsString="0" containsBlank="1" containsNumber="1">
        <n v="144.0"/>
        <n v="112.0"/>
        <n v="87.0"/>
        <n v="76.0"/>
        <n v="90.0"/>
        <n v="89.0"/>
        <n v="121.0"/>
        <n v="105.0"/>
        <n v="37.0"/>
        <m/>
        <n v="120.0"/>
        <n v="72.0"/>
        <n v="61.0"/>
        <n v="44.0"/>
        <n v="150.0"/>
        <n v="13.0"/>
        <n v="55.0"/>
        <n v="6.0"/>
        <n v="141.0"/>
        <n v="18.0"/>
        <n v="67.0"/>
        <n v="133.0"/>
        <n v="98.0"/>
        <n v="47.0"/>
        <n v="83.0"/>
        <n v="95.0"/>
        <n v="138.0"/>
        <n v="134.0"/>
        <n v="48.0"/>
        <n v="73.0"/>
        <n v="12.0"/>
        <n v="65.0"/>
        <n v="58.86666667"/>
        <n v="52.73333333"/>
        <n v="46.6"/>
        <n v="40.46666667"/>
      </sharedItems>
    </cacheField>
    <cacheField name="Selling Price" numFmtId="0">
      <sharedItems containsSemiMixedTypes="0" containsString="0" containsNumber="1">
        <n v="156.96"/>
        <n v="146.72"/>
        <n v="215.0"/>
        <n v="82.08"/>
        <n v="115.2"/>
        <n v="117.48"/>
        <n v="141.57"/>
        <n v="142.8"/>
        <n v="49.21"/>
        <n v="53.11"/>
        <n v="41.81"/>
        <n v="162.0"/>
        <n v="79.92"/>
        <n v="76.25"/>
        <n v="48.84"/>
        <n v="210.0"/>
        <n v="16.64"/>
        <n v="58.3"/>
        <n v="7.86"/>
        <n v="149.46"/>
        <n v="24.66"/>
        <n v="96.3"/>
        <n v="85.76"/>
        <n v="155.61"/>
        <n v="103.88"/>
        <n v="48.4"/>
        <n v="94.62"/>
        <n v="119.7"/>
        <n v="173.88"/>
        <n v="42.55"/>
        <n v="156.78"/>
        <n v="57.12"/>
        <n v="94.17"/>
        <n v="15.72"/>
        <n v="97.98993159"/>
        <n v="97.87902985"/>
        <n v="97.7681281"/>
        <n v="97.65722636"/>
        <n v="97.54632461"/>
      </sharedItems>
    </cacheField>
    <cacheField name="Total Buying Price" numFmtId="0">
      <sharedItems containsSemiMixedTypes="0" containsString="0" containsNumber="1">
        <n v="1296.0"/>
        <n v="448.0"/>
        <n v="660.0"/>
        <n v="684.0"/>
        <n v="630.0"/>
        <n v="267.0"/>
        <n v="242.0"/>
        <n v="420.0"/>
        <n v="407.0"/>
        <n v="282.0"/>
        <n v="370.0"/>
        <n v="960.0"/>
        <n v="648.0"/>
        <n v="488.0"/>
        <n v="1815.0"/>
        <n v="484.0"/>
        <n v="1068.0"/>
        <n v="750.0"/>
        <n v="13.0"/>
        <n v="330.0"/>
        <n v="24.0"/>
        <n v="1128.0"/>
        <n v="54.0"/>
        <n v="67.0"/>
        <n v="532.0"/>
        <n v="144.0"/>
        <n v="882.0"/>
        <n v="588.0"/>
        <n v="427.0"/>
        <n v="132.0"/>
        <n v="264.0"/>
        <n v="1080.0"/>
        <n v="112.0"/>
        <n v="141.0"/>
        <n v="720.0"/>
        <n v="121.0"/>
        <n v="747.0"/>
        <n v="525.0"/>
        <n v="234.0"/>
        <n v="1140.0"/>
        <n v="828.0"/>
        <n v="196.0"/>
        <n v="180.0"/>
        <n v="444.0"/>
        <n v="182.0"/>
        <n v="74.0"/>
        <n v="495.0"/>
        <n v="1608.0"/>
        <n v="192.0"/>
        <n v="576.0"/>
        <n v="415.0"/>
        <n v="1380.0"/>
        <n v="296.0"/>
        <n v="1800.0"/>
        <n v="440.0"/>
        <n v="1950.0"/>
        <n v="555.0"/>
        <n v="1596.0"/>
        <n v="760.0"/>
        <n v="216.0"/>
        <n v="1095.0"/>
        <n v="1500.0"/>
        <n v="990.0"/>
        <n v="480.0"/>
        <n v="801.8269618"/>
        <n v="806.6374916"/>
        <n v="811.4480215"/>
        <n v="816.2585513"/>
        <n v="821.0690812"/>
      </sharedItems>
    </cacheField>
    <cacheField name="Total Selling Price" numFmtId="0">
      <sharedItems containsSemiMixedTypes="0" containsString="0" containsNumber="1">
        <n v="1384.4"/>
        <n v="581.0"/>
        <n v="732.6"/>
        <n v="738.7"/>
        <n v="806.4"/>
        <n v="352.4"/>
        <n v="283.1"/>
        <n v="571.2"/>
        <n v="541.3"/>
        <n v="318.7"/>
        <n v="418.1"/>
        <n v="1296.0"/>
        <n v="719.3"/>
        <n v="610.0"/>
        <n v="2123.6"/>
        <n v="537.2"/>
        <n v="1409.8"/>
        <n v="1050.0"/>
        <n v="16.6"/>
        <n v="349.8"/>
        <n v="31.4"/>
        <n v="1195.7"/>
        <n v="74.0"/>
        <n v="674.1"/>
        <n v="85.8"/>
        <n v="622.4"/>
        <n v="699.6"/>
        <n v="157.0"/>
        <n v="934.9"/>
        <n v="623.3"/>
        <n v="533.8"/>
        <n v="145.2"/>
        <n v="293.0"/>
        <n v="1382.4"/>
        <n v="146.7"/>
        <n v="159.3"/>
        <n v="770.4"/>
        <n v="141.6"/>
        <n v="851.6"/>
        <n v="714.0"/>
        <n v="320.6"/>
        <n v="1436.4"/>
        <n v="1043.3"/>
        <n v="207.8"/>
        <n v="230.4"/>
        <n v="510.6"/>
        <n v="233.0"/>
        <n v="98.4"/>
        <n v="524.7"/>
        <n v="1881.4"/>
        <n v="228.5"/>
        <n v="639.4"/>
        <n v="473.1"/>
        <n v="1738.8"/>
        <n v="334.5"/>
        <n v="2430.0"/>
        <n v="484.0"/>
        <n v="2730.0"/>
        <n v="638.3"/>
        <n v="1867.3"/>
        <n v="957.6"/>
        <n v="239.8"/>
        <n v="1231.2"/>
        <n v="1412.6"/>
        <n v="235.8"/>
        <n v="2100.0"/>
        <n v="1059.3"/>
        <n v="1001.2"/>
        <n v="1007.8"/>
        <n v="1014.5"/>
        <n v="1021.1"/>
        <n v="1027.7"/>
      </sharedItems>
    </cacheField>
    <cacheField name="Month" numFmtId="0">
      <sharedItems>
        <s v="Jan"/>
        <s v="Feb"/>
        <s v="Mar"/>
        <s v="Apr"/>
        <s v="Jun"/>
        <s v="Jul"/>
        <s v="Aug"/>
        <s v="Sep"/>
        <s v="Oct"/>
        <s v="Nov"/>
        <s v="Dec"/>
        <s v="May"/>
      </sharedItems>
    </cacheField>
    <cacheField name="Profit" numFmtId="0">
      <sharedItems containsSemiMixedTypes="0" containsString="0" containsNumber="1" containsInteger="1">
        <n v="88.0"/>
        <n v="133.0"/>
        <n v="73.0"/>
        <n v="55.0"/>
        <n v="176.0"/>
        <n v="85.0"/>
        <n v="41.0"/>
        <n v="151.0"/>
        <n v="134.0"/>
        <n v="37.0"/>
        <n v="48.0"/>
        <n v="336.0"/>
        <n v="71.0"/>
        <n v="122.0"/>
        <n v="309.0"/>
        <n v="53.0"/>
        <n v="342.0"/>
        <n v="300.0"/>
        <n v="4.0"/>
        <n v="20.0"/>
        <n v="7.0"/>
        <n v="68.0"/>
        <n v="44.0"/>
        <n v="19.0"/>
        <n v="90.0"/>
        <n v="40.0"/>
        <n v="13.0"/>
        <n v="35.0"/>
        <n v="107.0"/>
        <n v="29.0"/>
        <n v="302.0"/>
        <n v="18.0"/>
        <n v="50.0"/>
        <n v="21.0"/>
        <n v="105.0"/>
        <n v="189.0"/>
        <n v="87.0"/>
        <n v="296.0"/>
        <n v="215.0"/>
        <n v="12.0"/>
        <n v="67.0"/>
        <n v="51.0"/>
        <n v="24.0"/>
        <n v="30.0"/>
        <n v="273.0"/>
        <n v="36.0"/>
        <n v="63.0"/>
        <n v="58.0"/>
        <n v="359.0"/>
        <n v="38.0"/>
        <n v="630.0"/>
        <n v="780.0"/>
        <n v="83.0"/>
        <n v="271.0"/>
        <n v="198.0"/>
        <n v="91.0"/>
        <n v="318.0"/>
        <n v="56.0"/>
        <n v="600.0"/>
        <n v="69.0"/>
        <n v="199.0"/>
        <n v="201.0"/>
        <n v="203.0"/>
        <n v="205.0"/>
        <n v="207.0"/>
      </sharedItems>
    </cacheField>
    <cacheField name="id2" databaseField="0">
      <fieldGroup base="0">
        <rangePr autoStart="0" autoEnd="0" groupBy="months" startDate="1903-04-15T00:00:00Z" endDate="1903-06-30T00:00:00Z"/>
        <groupItems>
          <s v="&lt;04/15/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30/03"/>
        </groupItems>
      </fieldGroup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7" sheet="Sheet1"/>
  </cacheSource>
  <cacheFields>
    <cacheField name="ID" numFmtId="164">
      <sharedItems containsSemiMixedTypes="0" containsNonDate="0" containsDate="1" containsString="0">
        <d v="1903-04-15T00:00:00Z"/>
        <d v="1903-04-16T00:00:00Z"/>
        <d v="1903-04-17T00:00:00Z"/>
        <d v="1903-04-18T00:00:00Z"/>
        <d v="1903-04-19T00:00:00Z"/>
        <d v="1903-04-20T00:00:00Z"/>
        <d v="1903-04-21T00:00:00Z"/>
        <d v="1903-04-22T00:00:00Z"/>
        <d v="1903-04-23T00:00:00Z"/>
        <d v="1903-04-24T00:00:00Z"/>
        <d v="1903-04-25T00:00:00Z"/>
        <d v="1903-04-26T00:00:00Z"/>
        <d v="1903-04-27T00:00:00Z"/>
        <d v="1903-04-28T00:00:00Z"/>
        <d v="1903-04-29T00:00:00Z"/>
        <d v="1903-04-30T00:00:00Z"/>
        <d v="1903-05-01T00:00:00Z"/>
        <d v="1903-05-02T00:00:00Z"/>
        <d v="1903-05-03T00:00:00Z"/>
        <d v="1903-05-04T00:00:00Z"/>
        <d v="1903-05-05T00:00:00Z"/>
        <d v="1903-05-06T00:00:00Z"/>
        <d v="1903-05-07T00:00:00Z"/>
        <d v="1903-05-08T00:00:00Z"/>
        <d v="1903-05-09T00:00:00Z"/>
        <d v="1903-05-10T00:00:00Z"/>
        <d v="1903-05-11T00:00:00Z"/>
        <d v="1903-05-12T00:00:00Z"/>
        <d v="1903-05-13T00:00:00Z"/>
        <d v="1903-05-14T00:00:00Z"/>
        <d v="1903-05-16T00:00:00Z"/>
        <d v="1903-05-17T00:00:00Z"/>
        <d v="1903-05-18T00:00:00Z"/>
        <d v="1903-05-19T00:00:00Z"/>
        <d v="1903-05-20T00:00:00Z"/>
        <d v="1903-05-21T00:00:00Z"/>
        <d v="1903-05-22T00:00:00Z"/>
        <d v="1903-05-23T00:00:00Z"/>
        <d v="1903-05-24T00:00:00Z"/>
        <d v="1903-05-25T00:00:00Z"/>
        <d v="1903-05-26T00:00:00Z"/>
        <d v="1903-05-27T00:00:00Z"/>
        <d v="1903-05-28T00:00:00Z"/>
        <d v="1903-05-29T00:00:00Z"/>
        <d v="1903-05-30T00:00:00Z"/>
        <d v="1903-05-31T00:00:00Z"/>
        <d v="1903-06-01T00:00:00Z"/>
        <d v="1903-06-02T00:00:00Z"/>
        <d v="1903-06-03T00:00:00Z"/>
        <d v="1903-06-04T00:00:00Z"/>
        <d v="1903-06-05T00:00:00Z"/>
        <d v="1903-06-06T00:00:00Z"/>
        <d v="1903-06-07T00:00:00Z"/>
        <d v="1903-06-08T00:00:00Z"/>
        <d v="1903-06-09T00:00:00Z"/>
        <d v="1903-06-10T00:00:00Z"/>
        <d v="1903-06-11T00:00:00Z"/>
        <d v="1903-06-12T00:00:00Z"/>
        <d v="1903-06-13T00:00:00Z"/>
        <d v="1903-06-14T00:00:00Z"/>
        <d v="1903-06-15T00:00:00Z"/>
        <d v="1903-06-16T00:00:00Z"/>
        <d v="1903-06-17T00:00:00Z"/>
        <d v="1903-06-18T00:00:00Z"/>
        <d v="1903-06-19T00:00:00Z"/>
        <d v="1903-06-20T00:00:00Z"/>
        <d v="1903-06-21T00:00:00Z"/>
        <d v="1903-06-22T00:00:00Z"/>
        <d v="1903-06-23T00:00:00Z"/>
        <d v="1903-06-24T00:00:00Z"/>
        <d v="1903-06-25T00:00:00Z"/>
        <d v="1903-06-26T00:00:00Z"/>
        <d v="1903-06-27T00:00:00Z"/>
        <d v="1903-06-28T00:00:00Z"/>
        <d v="1903-06-29T00:00:00Z"/>
      </sharedItems>
      <fieldGroup par="14"/>
    </cacheField>
    <cacheField name="Date" numFmtId="164">
      <sharedItems containsSemiMixedTypes="0" containsDate="1" containsString="0">
        <d v="2021-01-19T00:00:00Z"/>
        <d v="2021-01-20T00:00:00Z"/>
        <d v="2021-01-21T00:00:00Z"/>
        <d v="2021-01-26T00:00:00Z"/>
        <d v="2021-01-27T00:00:00Z"/>
        <d v="2021-02-03T00:00:00Z"/>
        <d v="2021-02-25T00:00:00Z"/>
        <d v="2021-02-27T00:00:00Z"/>
        <d v="2021-03-09T00:00:00Z"/>
        <d v="2021-03-13T00:00:00Z"/>
        <d v="2021-03-18T00:00:00Z"/>
        <d v="2021-04-18T00:00:00Z"/>
        <d v="2021-06-04T00:00:00Z"/>
        <d v="2021-06-05T00:00:00Z"/>
        <d v="2021-06-08T00:00:00Z"/>
        <d v="2021-06-11T00:00:00Z"/>
        <d v="2021-06-16T00:00:00Z"/>
        <d v="2021-06-20T00:00:00Z"/>
        <d v="2021-07-10T00:00:00Z"/>
        <d v="2021-07-11T00:00:00Z"/>
        <d v="2021-07-16T00:00:00Z"/>
        <d v="2021-07-22T00:00:00Z"/>
        <d v="2021-07-23T00:00:00Z"/>
        <d v="2021-08-06T00:00:00Z"/>
        <d v="2021-08-10T00:00:00Z"/>
        <d v="2021-08-29T00:00:00Z"/>
        <d v="2021-09-01T00:00:00Z"/>
        <d v="2021-09-10T00:00:00Z"/>
        <d v="2021-09-11T00:00:00Z"/>
        <d v="2021-09-21T00:00:00Z"/>
        <d v="2021-10-24T00:00:00Z"/>
        <d v="2021-10-26T00:00:00Z"/>
        <d v="2021-11-11T00:00:00Z"/>
        <d v="2021-11-21T00:00:00Z"/>
        <d v="2021-12-19T00:00:00Z"/>
        <d v="2021-12-24T00:00:00Z"/>
        <d v="2022-01-01T00:00:00Z"/>
        <d v="2022-01-18T00:00:00Z"/>
        <d v="2022-01-23T00:00:00Z"/>
        <d v="2022-03-04T00:00:00Z"/>
        <d v="2022-03-10T00:00:00Z"/>
        <d v="2022-03-19T00:00:00Z"/>
        <d v="2022-03-25T00:00:00Z"/>
        <d v="2022-04-06T00:00:00Z"/>
        <d v="2022-04-09T00:00:00Z"/>
        <d v="2022-04-13T00:00:00Z"/>
        <d v="2022-04-20T00:00:00Z"/>
        <d v="2022-05-01T00:00:00Z"/>
        <d v="2022-05-09T00:00:00Z"/>
        <d v="2022-05-18T00:00:00Z"/>
        <d v="2022-05-28T00:00:00Z"/>
        <d v="2022-05-30T00:00:00Z"/>
        <d v="2022-06-10T00:00:00Z"/>
        <d v="2022-06-15T00:00:00Z"/>
        <d v="2022-07-20T00:00:00Z"/>
        <d v="2022-08-15T00:00:00Z"/>
        <d v="2022-08-26T00:00:00Z"/>
        <d v="2022-08-27T00:00:00Z"/>
        <d v="2022-09-06T00:00:00Z"/>
        <d v="2022-09-19T00:00:00Z"/>
        <d v="2022-09-27T00:00:00Z"/>
        <d v="2022-10-14T00:00:00Z"/>
        <d v="2022-11-01T00:00:00Z"/>
        <d v="2022-11-02T00:00:00Z"/>
        <d v="2022-11-08T00:00:00Z"/>
        <d v="2022-11-13T00:00:00Z"/>
        <d v="2021-01-01T00:00:00Z"/>
        <d v="2021-01-11T00:00:00Z"/>
      </sharedItems>
    </cacheField>
    <cacheField name="Name" numFmtId="0">
      <sharedItems>
        <s v="RAJ KUMAR"/>
        <s v="RINKU"/>
        <s v="NEERAJ"/>
        <s v="MOHAN"/>
      </sharedItems>
    </cacheField>
    <cacheField name="QUANTITY" numFmtId="0">
      <sharedItems containsSemiMixedTypes="0" containsString="0" containsNumber="1">
        <n v="9.0"/>
        <n v="4.0"/>
        <n v="15.0"/>
        <n v="7.0"/>
        <n v="3.0"/>
        <n v="2.0"/>
        <n v="11.0"/>
        <n v="6.0"/>
        <n v="10.0"/>
        <n v="8.0"/>
        <n v="12.0"/>
        <n v="5.0"/>
        <n v="1.0"/>
        <n v="13.0"/>
        <n v="14.0"/>
        <n v="9.814487"/>
        <n v="9.869584"/>
        <n v="9.924681"/>
        <n v="9.979779"/>
        <n v="10.03488"/>
      </sharedItems>
    </cacheField>
    <cacheField name="PRODUCT ID" numFmtId="0">
      <sharedItems>
        <s v="P0026"/>
        <s v="P0024"/>
        <s v="P0027"/>
        <s v="P0028"/>
        <s v="P0025"/>
      </sharedItems>
    </cacheField>
    <cacheField name="sales type" numFmtId="0">
      <sharedItems>
        <s v="Wholesaler"/>
      </sharedItems>
    </cacheField>
    <cacheField name="PAYMENT MODE" numFmtId="10">
      <sharedItems>
        <s v="Online"/>
        <s v="Cash"/>
      </sharedItems>
    </cacheField>
    <cacheField name="DISCOUNT %" numFmtId="10">
      <sharedItems containsSemiMixedTypes="0" containsString="0" containsNumber="1">
        <n v="0.02"/>
        <n v="0.01"/>
        <n v="0.0"/>
        <n v="-0.001"/>
      </sharedItems>
    </cacheField>
    <cacheField name="Buying Price" numFmtId="0">
      <sharedItems containsString="0" containsBlank="1" containsNumber="1">
        <n v="144.0"/>
        <n v="112.0"/>
        <n v="87.0"/>
        <n v="76.0"/>
        <n v="90.0"/>
        <n v="89.0"/>
        <n v="121.0"/>
        <n v="105.0"/>
        <n v="37.0"/>
        <m/>
        <n v="120.0"/>
        <n v="72.0"/>
        <n v="61.0"/>
        <n v="44.0"/>
        <n v="150.0"/>
        <n v="13.0"/>
        <n v="55.0"/>
        <n v="6.0"/>
        <n v="141.0"/>
        <n v="18.0"/>
        <n v="67.0"/>
        <n v="133.0"/>
        <n v="98.0"/>
        <n v="47.0"/>
        <n v="83.0"/>
        <n v="95.0"/>
        <n v="138.0"/>
        <n v="134.0"/>
        <n v="48.0"/>
        <n v="73.0"/>
        <n v="12.0"/>
        <n v="65.0"/>
        <n v="58.86666667"/>
        <n v="52.73333333"/>
        <n v="46.6"/>
        <n v="40.46666667"/>
      </sharedItems>
    </cacheField>
    <cacheField name="Selling Price" numFmtId="0">
      <sharedItems containsSemiMixedTypes="0" containsString="0" containsNumber="1">
        <n v="156.96"/>
        <n v="146.72"/>
        <n v="215.0"/>
        <n v="82.08"/>
        <n v="115.2"/>
        <n v="117.48"/>
        <n v="141.57"/>
        <n v="142.8"/>
        <n v="49.21"/>
        <n v="53.11"/>
        <n v="41.81"/>
        <n v="162.0"/>
        <n v="79.92"/>
        <n v="76.25"/>
        <n v="48.84"/>
        <n v="210.0"/>
        <n v="16.64"/>
        <n v="58.3"/>
        <n v="7.86"/>
        <n v="149.46"/>
        <n v="24.66"/>
        <n v="96.3"/>
        <n v="85.76"/>
        <n v="155.61"/>
        <n v="103.88"/>
        <n v="48.4"/>
        <n v="94.62"/>
        <n v="119.7"/>
        <n v="173.88"/>
        <n v="42.55"/>
        <n v="156.78"/>
        <n v="57.12"/>
        <n v="94.17"/>
        <n v="15.72"/>
        <n v="97.98993159"/>
        <n v="97.87902985"/>
        <n v="97.7681281"/>
        <n v="97.65722636"/>
        <n v="97.54632461"/>
      </sharedItems>
    </cacheField>
    <cacheField name="Total Buying Price" numFmtId="0">
      <sharedItems containsSemiMixedTypes="0" containsString="0" containsNumber="1">
        <n v="1296.0"/>
        <n v="448.0"/>
        <n v="660.0"/>
        <n v="684.0"/>
        <n v="630.0"/>
        <n v="267.0"/>
        <n v="242.0"/>
        <n v="420.0"/>
        <n v="407.0"/>
        <n v="282.0"/>
        <n v="370.0"/>
        <n v="960.0"/>
        <n v="648.0"/>
        <n v="488.0"/>
        <n v="1815.0"/>
        <n v="484.0"/>
        <n v="1068.0"/>
        <n v="750.0"/>
        <n v="13.0"/>
        <n v="330.0"/>
        <n v="24.0"/>
        <n v="1128.0"/>
        <n v="54.0"/>
        <n v="67.0"/>
        <n v="532.0"/>
        <n v="144.0"/>
        <n v="882.0"/>
        <n v="588.0"/>
        <n v="427.0"/>
        <n v="132.0"/>
        <n v="264.0"/>
        <n v="1080.0"/>
        <n v="112.0"/>
        <n v="141.0"/>
        <n v="720.0"/>
        <n v="121.0"/>
        <n v="747.0"/>
        <n v="525.0"/>
        <n v="234.0"/>
        <n v="1140.0"/>
        <n v="828.0"/>
        <n v="196.0"/>
        <n v="180.0"/>
        <n v="444.0"/>
        <n v="182.0"/>
        <n v="74.0"/>
        <n v="495.0"/>
        <n v="1608.0"/>
        <n v="192.0"/>
        <n v="576.0"/>
        <n v="415.0"/>
        <n v="1380.0"/>
        <n v="296.0"/>
        <n v="1800.0"/>
        <n v="440.0"/>
        <n v="1950.0"/>
        <n v="555.0"/>
        <n v="1596.0"/>
        <n v="760.0"/>
        <n v="216.0"/>
        <n v="1095.0"/>
        <n v="1500.0"/>
        <n v="990.0"/>
        <n v="480.0"/>
        <n v="801.8269618"/>
        <n v="806.6374916"/>
        <n v="811.4480215"/>
        <n v="816.2585513"/>
        <n v="821.0690812"/>
      </sharedItems>
    </cacheField>
    <cacheField name="Total Selling Price" numFmtId="0">
      <sharedItems containsSemiMixedTypes="0" containsString="0" containsNumber="1">
        <n v="1384.4"/>
        <n v="581.0"/>
        <n v="732.6"/>
        <n v="738.7"/>
        <n v="806.4"/>
        <n v="352.4"/>
        <n v="283.1"/>
        <n v="571.2"/>
        <n v="541.3"/>
        <n v="318.7"/>
        <n v="418.1"/>
        <n v="1296.0"/>
        <n v="719.3"/>
        <n v="610.0"/>
        <n v="2123.6"/>
        <n v="537.2"/>
        <n v="1409.8"/>
        <n v="1050.0"/>
        <n v="16.6"/>
        <n v="349.8"/>
        <n v="31.4"/>
        <n v="1195.7"/>
        <n v="74.0"/>
        <n v="674.1"/>
        <n v="85.8"/>
        <n v="622.4"/>
        <n v="699.6"/>
        <n v="157.0"/>
        <n v="934.9"/>
        <n v="623.3"/>
        <n v="533.8"/>
        <n v="145.2"/>
        <n v="293.0"/>
        <n v="1382.4"/>
        <n v="146.7"/>
        <n v="159.3"/>
        <n v="770.4"/>
        <n v="141.6"/>
        <n v="851.6"/>
        <n v="714.0"/>
        <n v="320.6"/>
        <n v="1436.4"/>
        <n v="1043.3"/>
        <n v="207.8"/>
        <n v="230.4"/>
        <n v="510.6"/>
        <n v="233.0"/>
        <n v="98.4"/>
        <n v="524.7"/>
        <n v="1881.4"/>
        <n v="228.5"/>
        <n v="639.4"/>
        <n v="473.1"/>
        <n v="1738.8"/>
        <n v="334.5"/>
        <n v="2430.0"/>
        <n v="484.0"/>
        <n v="2730.0"/>
        <n v="638.3"/>
        <n v="1867.3"/>
        <n v="957.6"/>
        <n v="239.8"/>
        <n v="1231.2"/>
        <n v="1412.6"/>
        <n v="235.8"/>
        <n v="2100.0"/>
        <n v="1059.3"/>
        <n v="1001.2"/>
        <n v="1007.8"/>
        <n v="1014.5"/>
        <n v="1021.1"/>
        <n v="1027.7"/>
      </sharedItems>
    </cacheField>
    <cacheField name="Month" numFmtId="0">
      <sharedItems>
        <s v="Jan"/>
        <s v="Feb"/>
        <s v="Mar"/>
        <s v="Apr"/>
        <s v="Jun"/>
        <s v="Jul"/>
        <s v="Aug"/>
        <s v="Sep"/>
        <s v="Oct"/>
        <s v="Nov"/>
        <s v="Dec"/>
        <s v="May"/>
      </sharedItems>
    </cacheField>
    <cacheField name="Profit" numFmtId="0">
      <sharedItems containsSemiMixedTypes="0" containsString="0" containsNumber="1" containsInteger="1">
        <n v="88.0"/>
        <n v="133.0"/>
        <n v="73.0"/>
        <n v="55.0"/>
        <n v="176.0"/>
        <n v="85.0"/>
        <n v="41.0"/>
        <n v="151.0"/>
        <n v="134.0"/>
        <n v="37.0"/>
        <n v="48.0"/>
        <n v="336.0"/>
        <n v="71.0"/>
        <n v="122.0"/>
        <n v="309.0"/>
        <n v="53.0"/>
        <n v="342.0"/>
        <n v="300.0"/>
        <n v="4.0"/>
        <n v="20.0"/>
        <n v="7.0"/>
        <n v="68.0"/>
        <n v="44.0"/>
        <n v="19.0"/>
        <n v="90.0"/>
        <n v="40.0"/>
        <n v="13.0"/>
        <n v="35.0"/>
        <n v="107.0"/>
        <n v="29.0"/>
        <n v="302.0"/>
        <n v="18.0"/>
        <n v="50.0"/>
        <n v="21.0"/>
        <n v="105.0"/>
        <n v="189.0"/>
        <n v="87.0"/>
        <n v="296.0"/>
        <n v="215.0"/>
        <n v="12.0"/>
        <n v="67.0"/>
        <n v="51.0"/>
        <n v="24.0"/>
        <n v="30.0"/>
        <n v="273.0"/>
        <n v="36.0"/>
        <n v="63.0"/>
        <n v="58.0"/>
        <n v="359.0"/>
        <n v="38.0"/>
        <n v="630.0"/>
        <n v="780.0"/>
        <n v="83.0"/>
        <n v="271.0"/>
        <n v="198.0"/>
        <n v="91.0"/>
        <n v="318.0"/>
        <n v="56.0"/>
        <n v="600.0"/>
        <n v="69.0"/>
        <n v="199.0"/>
        <n v="201.0"/>
        <n v="203.0"/>
        <n v="205.0"/>
        <n v="207.0"/>
      </sharedItems>
    </cacheField>
    <cacheField name="id2" databaseField="0">
      <fieldGroup base="0">
        <rangePr autoStart="0" autoEnd="0" groupBy="months" startDate="1903-04-15T00:00:00Z" endDate="1903-06-30T00:00:00Z"/>
        <groupItems>
          <s v="&lt;04/15/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30/03"/>
        </groupItems>
      </fieldGroup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7" sheet="Sheet1"/>
  </cacheSource>
  <cacheFields>
    <cacheField name="ID" numFmtId="164">
      <sharedItems containsSemiMixedTypes="0" containsNonDate="0" containsDate="1" containsString="0">
        <d v="1903-04-15T00:00:00Z"/>
        <d v="1903-04-16T00:00:00Z"/>
        <d v="1903-04-17T00:00:00Z"/>
        <d v="1903-04-18T00:00:00Z"/>
        <d v="1903-04-19T00:00:00Z"/>
        <d v="1903-04-20T00:00:00Z"/>
        <d v="1903-04-21T00:00:00Z"/>
        <d v="1903-04-22T00:00:00Z"/>
        <d v="1903-04-23T00:00:00Z"/>
        <d v="1903-04-24T00:00:00Z"/>
        <d v="1903-04-25T00:00:00Z"/>
        <d v="1903-04-26T00:00:00Z"/>
        <d v="1903-04-27T00:00:00Z"/>
        <d v="1903-04-28T00:00:00Z"/>
        <d v="1903-04-29T00:00:00Z"/>
        <d v="1903-04-30T00:00:00Z"/>
        <d v="1903-05-01T00:00:00Z"/>
        <d v="1903-05-02T00:00:00Z"/>
        <d v="1903-05-03T00:00:00Z"/>
        <d v="1903-05-04T00:00:00Z"/>
        <d v="1903-05-05T00:00:00Z"/>
        <d v="1903-05-06T00:00:00Z"/>
        <d v="1903-05-07T00:00:00Z"/>
        <d v="1903-05-08T00:00:00Z"/>
        <d v="1903-05-09T00:00:00Z"/>
        <d v="1903-05-10T00:00:00Z"/>
        <d v="1903-05-11T00:00:00Z"/>
        <d v="1903-05-12T00:00:00Z"/>
        <d v="1903-05-13T00:00:00Z"/>
        <d v="1903-05-14T00:00:00Z"/>
        <d v="1903-05-16T00:00:00Z"/>
        <d v="1903-05-17T00:00:00Z"/>
        <d v="1903-05-18T00:00:00Z"/>
        <d v="1903-05-19T00:00:00Z"/>
        <d v="1903-05-20T00:00:00Z"/>
        <d v="1903-05-21T00:00:00Z"/>
        <d v="1903-05-22T00:00:00Z"/>
        <d v="1903-05-23T00:00:00Z"/>
        <d v="1903-05-24T00:00:00Z"/>
        <d v="1903-05-25T00:00:00Z"/>
        <d v="1903-05-26T00:00:00Z"/>
        <d v="1903-05-27T00:00:00Z"/>
        <d v="1903-05-28T00:00:00Z"/>
        <d v="1903-05-29T00:00:00Z"/>
        <d v="1903-05-30T00:00:00Z"/>
        <d v="1903-05-31T00:00:00Z"/>
        <d v="1903-06-01T00:00:00Z"/>
        <d v="1903-06-02T00:00:00Z"/>
        <d v="1903-06-03T00:00:00Z"/>
        <d v="1903-06-04T00:00:00Z"/>
        <d v="1903-06-05T00:00:00Z"/>
        <d v="1903-06-06T00:00:00Z"/>
        <d v="1903-06-07T00:00:00Z"/>
        <d v="1903-06-08T00:00:00Z"/>
        <d v="1903-06-09T00:00:00Z"/>
        <d v="1903-06-10T00:00:00Z"/>
        <d v="1903-06-11T00:00:00Z"/>
        <d v="1903-06-12T00:00:00Z"/>
        <d v="1903-06-13T00:00:00Z"/>
        <d v="1903-06-14T00:00:00Z"/>
        <d v="1903-06-15T00:00:00Z"/>
        <d v="1903-06-16T00:00:00Z"/>
        <d v="1903-06-17T00:00:00Z"/>
        <d v="1903-06-18T00:00:00Z"/>
        <d v="1903-06-19T00:00:00Z"/>
        <d v="1903-06-20T00:00:00Z"/>
        <d v="1903-06-21T00:00:00Z"/>
        <d v="1903-06-22T00:00:00Z"/>
        <d v="1903-06-23T00:00:00Z"/>
        <d v="1903-06-24T00:00:00Z"/>
        <d v="1903-06-25T00:00:00Z"/>
        <d v="1903-06-26T00:00:00Z"/>
        <d v="1903-06-27T00:00:00Z"/>
        <d v="1903-06-28T00:00:00Z"/>
        <d v="1903-06-29T00:00:00Z"/>
      </sharedItems>
      <fieldGroup par="14"/>
    </cacheField>
    <cacheField name="Date" numFmtId="164">
      <sharedItems containsSemiMixedTypes="0" containsDate="1" containsString="0">
        <d v="2021-01-19T00:00:00Z"/>
        <d v="2021-01-20T00:00:00Z"/>
        <d v="2021-01-21T00:00:00Z"/>
        <d v="2021-01-26T00:00:00Z"/>
        <d v="2021-01-27T00:00:00Z"/>
        <d v="2021-02-03T00:00:00Z"/>
        <d v="2021-02-25T00:00:00Z"/>
        <d v="2021-02-27T00:00:00Z"/>
        <d v="2021-03-09T00:00:00Z"/>
        <d v="2021-03-13T00:00:00Z"/>
        <d v="2021-03-18T00:00:00Z"/>
        <d v="2021-04-18T00:00:00Z"/>
        <d v="2021-06-04T00:00:00Z"/>
        <d v="2021-06-05T00:00:00Z"/>
        <d v="2021-06-08T00:00:00Z"/>
        <d v="2021-06-11T00:00:00Z"/>
        <d v="2021-06-16T00:00:00Z"/>
        <d v="2021-06-20T00:00:00Z"/>
        <d v="2021-07-10T00:00:00Z"/>
        <d v="2021-07-11T00:00:00Z"/>
        <d v="2021-07-16T00:00:00Z"/>
        <d v="2021-07-22T00:00:00Z"/>
        <d v="2021-07-23T00:00:00Z"/>
        <d v="2021-08-06T00:00:00Z"/>
        <d v="2021-08-10T00:00:00Z"/>
        <d v="2021-08-29T00:00:00Z"/>
        <d v="2021-09-01T00:00:00Z"/>
        <d v="2021-09-10T00:00:00Z"/>
        <d v="2021-09-11T00:00:00Z"/>
        <d v="2021-09-21T00:00:00Z"/>
        <d v="2021-10-24T00:00:00Z"/>
        <d v="2021-10-26T00:00:00Z"/>
        <d v="2021-11-11T00:00:00Z"/>
        <d v="2021-11-21T00:00:00Z"/>
        <d v="2021-12-19T00:00:00Z"/>
        <d v="2021-12-24T00:00:00Z"/>
        <d v="2022-01-01T00:00:00Z"/>
        <d v="2022-01-18T00:00:00Z"/>
        <d v="2022-01-23T00:00:00Z"/>
        <d v="2022-03-04T00:00:00Z"/>
        <d v="2022-03-10T00:00:00Z"/>
        <d v="2022-03-19T00:00:00Z"/>
        <d v="2022-03-25T00:00:00Z"/>
        <d v="2022-04-06T00:00:00Z"/>
        <d v="2022-04-09T00:00:00Z"/>
        <d v="2022-04-13T00:00:00Z"/>
        <d v="2022-04-20T00:00:00Z"/>
        <d v="2022-05-01T00:00:00Z"/>
        <d v="2022-05-09T00:00:00Z"/>
        <d v="2022-05-18T00:00:00Z"/>
        <d v="2022-05-28T00:00:00Z"/>
        <d v="2022-05-30T00:00:00Z"/>
        <d v="2022-06-10T00:00:00Z"/>
        <d v="2022-06-15T00:00:00Z"/>
        <d v="2022-07-20T00:00:00Z"/>
        <d v="2022-08-15T00:00:00Z"/>
        <d v="2022-08-26T00:00:00Z"/>
        <d v="2022-08-27T00:00:00Z"/>
        <d v="2022-09-06T00:00:00Z"/>
        <d v="2022-09-19T00:00:00Z"/>
        <d v="2022-09-27T00:00:00Z"/>
        <d v="2022-10-14T00:00:00Z"/>
        <d v="2022-11-01T00:00:00Z"/>
        <d v="2022-11-02T00:00:00Z"/>
        <d v="2022-11-08T00:00:00Z"/>
        <d v="2022-11-13T00:00:00Z"/>
        <d v="2021-01-01T00:00:00Z"/>
        <d v="2021-01-11T00:00:00Z"/>
      </sharedItems>
    </cacheField>
    <cacheField name="Name" numFmtId="0">
      <sharedItems>
        <s v="RAJ KUMAR"/>
        <s v="RINKU"/>
        <s v="NEERAJ"/>
        <s v="MOHAN"/>
      </sharedItems>
    </cacheField>
    <cacheField name="QUANTITY" numFmtId="0">
      <sharedItems containsSemiMixedTypes="0" containsString="0" containsNumber="1">
        <n v="9.0"/>
        <n v="4.0"/>
        <n v="15.0"/>
        <n v="7.0"/>
        <n v="3.0"/>
        <n v="2.0"/>
        <n v="11.0"/>
        <n v="6.0"/>
        <n v="10.0"/>
        <n v="8.0"/>
        <n v="12.0"/>
        <n v="5.0"/>
        <n v="1.0"/>
        <n v="13.0"/>
        <n v="14.0"/>
        <n v="9.814487"/>
        <n v="9.869584"/>
        <n v="9.924681"/>
        <n v="9.979779"/>
        <n v="10.03488"/>
      </sharedItems>
    </cacheField>
    <cacheField name="PRODUCT ID" numFmtId="0">
      <sharedItems>
        <s v="P0026"/>
        <s v="P0024"/>
        <s v="P0027"/>
        <s v="P0028"/>
        <s v="P0025"/>
      </sharedItems>
    </cacheField>
    <cacheField name="sales type" numFmtId="0">
      <sharedItems>
        <s v="Wholesaler"/>
      </sharedItems>
    </cacheField>
    <cacheField name="PAYMENT MODE" numFmtId="10">
      <sharedItems>
        <s v="Online"/>
        <s v="Cash"/>
      </sharedItems>
    </cacheField>
    <cacheField name="DISCOUNT %" numFmtId="10">
      <sharedItems containsSemiMixedTypes="0" containsString="0" containsNumber="1">
        <n v="0.02"/>
        <n v="0.01"/>
        <n v="0.0"/>
        <n v="-0.001"/>
      </sharedItems>
    </cacheField>
    <cacheField name="Buying Price" numFmtId="0">
      <sharedItems containsString="0" containsBlank="1" containsNumber="1">
        <n v="144.0"/>
        <n v="112.0"/>
        <n v="87.0"/>
        <n v="76.0"/>
        <n v="90.0"/>
        <n v="89.0"/>
        <n v="121.0"/>
        <n v="105.0"/>
        <n v="37.0"/>
        <m/>
        <n v="120.0"/>
        <n v="72.0"/>
        <n v="61.0"/>
        <n v="44.0"/>
        <n v="150.0"/>
        <n v="13.0"/>
        <n v="55.0"/>
        <n v="6.0"/>
        <n v="141.0"/>
        <n v="18.0"/>
        <n v="67.0"/>
        <n v="133.0"/>
        <n v="98.0"/>
        <n v="47.0"/>
        <n v="83.0"/>
        <n v="95.0"/>
        <n v="138.0"/>
        <n v="134.0"/>
        <n v="48.0"/>
        <n v="73.0"/>
        <n v="12.0"/>
        <n v="65.0"/>
        <n v="58.86666667"/>
        <n v="52.73333333"/>
        <n v="46.6"/>
        <n v="40.46666667"/>
      </sharedItems>
    </cacheField>
    <cacheField name="Selling Price" numFmtId="0">
      <sharedItems containsSemiMixedTypes="0" containsString="0" containsNumber="1">
        <n v="156.96"/>
        <n v="146.72"/>
        <n v="215.0"/>
        <n v="82.08"/>
        <n v="115.2"/>
        <n v="117.48"/>
        <n v="141.57"/>
        <n v="142.8"/>
        <n v="49.21"/>
        <n v="53.11"/>
        <n v="41.81"/>
        <n v="162.0"/>
        <n v="79.92"/>
        <n v="76.25"/>
        <n v="48.84"/>
        <n v="210.0"/>
        <n v="16.64"/>
        <n v="58.3"/>
        <n v="7.86"/>
        <n v="149.46"/>
        <n v="24.66"/>
        <n v="96.3"/>
        <n v="85.76"/>
        <n v="155.61"/>
        <n v="103.88"/>
        <n v="48.4"/>
        <n v="94.62"/>
        <n v="119.7"/>
        <n v="173.88"/>
        <n v="42.55"/>
        <n v="156.78"/>
        <n v="57.12"/>
        <n v="94.17"/>
        <n v="15.72"/>
        <n v="97.98993159"/>
        <n v="97.87902985"/>
        <n v="97.7681281"/>
        <n v="97.65722636"/>
        <n v="97.54632461"/>
      </sharedItems>
    </cacheField>
    <cacheField name="Total Buying Price" numFmtId="0">
      <sharedItems containsSemiMixedTypes="0" containsString="0" containsNumber="1">
        <n v="1296.0"/>
        <n v="448.0"/>
        <n v="660.0"/>
        <n v="684.0"/>
        <n v="630.0"/>
        <n v="267.0"/>
        <n v="242.0"/>
        <n v="420.0"/>
        <n v="407.0"/>
        <n v="282.0"/>
        <n v="370.0"/>
        <n v="960.0"/>
        <n v="648.0"/>
        <n v="488.0"/>
        <n v="1815.0"/>
        <n v="484.0"/>
        <n v="1068.0"/>
        <n v="750.0"/>
        <n v="13.0"/>
        <n v="330.0"/>
        <n v="24.0"/>
        <n v="1128.0"/>
        <n v="54.0"/>
        <n v="67.0"/>
        <n v="532.0"/>
        <n v="144.0"/>
        <n v="882.0"/>
        <n v="588.0"/>
        <n v="427.0"/>
        <n v="132.0"/>
        <n v="264.0"/>
        <n v="1080.0"/>
        <n v="112.0"/>
        <n v="141.0"/>
        <n v="720.0"/>
        <n v="121.0"/>
        <n v="747.0"/>
        <n v="525.0"/>
        <n v="234.0"/>
        <n v="1140.0"/>
        <n v="828.0"/>
        <n v="196.0"/>
        <n v="180.0"/>
        <n v="444.0"/>
        <n v="182.0"/>
        <n v="74.0"/>
        <n v="495.0"/>
        <n v="1608.0"/>
        <n v="192.0"/>
        <n v="576.0"/>
        <n v="415.0"/>
        <n v="1380.0"/>
        <n v="296.0"/>
        <n v="1800.0"/>
        <n v="440.0"/>
        <n v="1950.0"/>
        <n v="555.0"/>
        <n v="1596.0"/>
        <n v="760.0"/>
        <n v="216.0"/>
        <n v="1095.0"/>
        <n v="1500.0"/>
        <n v="990.0"/>
        <n v="480.0"/>
        <n v="801.8269618"/>
        <n v="806.6374916"/>
        <n v="811.4480215"/>
        <n v="816.2585513"/>
        <n v="821.0690812"/>
      </sharedItems>
    </cacheField>
    <cacheField name="Total Selling Price" numFmtId="0">
      <sharedItems containsSemiMixedTypes="0" containsString="0" containsNumber="1">
        <n v="1384.4"/>
        <n v="581.0"/>
        <n v="732.6"/>
        <n v="738.7"/>
        <n v="806.4"/>
        <n v="352.4"/>
        <n v="283.1"/>
        <n v="571.2"/>
        <n v="541.3"/>
        <n v="318.7"/>
        <n v="418.1"/>
        <n v="1296.0"/>
        <n v="719.3"/>
        <n v="610.0"/>
        <n v="2123.6"/>
        <n v="537.2"/>
        <n v="1409.8"/>
        <n v="1050.0"/>
        <n v="16.6"/>
        <n v="349.8"/>
        <n v="31.4"/>
        <n v="1195.7"/>
        <n v="74.0"/>
        <n v="674.1"/>
        <n v="85.8"/>
        <n v="622.4"/>
        <n v="699.6"/>
        <n v="157.0"/>
        <n v="934.9"/>
        <n v="623.3"/>
        <n v="533.8"/>
        <n v="145.2"/>
        <n v="293.0"/>
        <n v="1382.4"/>
        <n v="146.7"/>
        <n v="159.3"/>
        <n v="770.4"/>
        <n v="141.6"/>
        <n v="851.6"/>
        <n v="714.0"/>
        <n v="320.6"/>
        <n v="1436.4"/>
        <n v="1043.3"/>
        <n v="207.8"/>
        <n v="230.4"/>
        <n v="510.6"/>
        <n v="233.0"/>
        <n v="98.4"/>
        <n v="524.7"/>
        <n v="1881.4"/>
        <n v="228.5"/>
        <n v="639.4"/>
        <n v="473.1"/>
        <n v="1738.8"/>
        <n v="334.5"/>
        <n v="2430.0"/>
        <n v="484.0"/>
        <n v="2730.0"/>
        <n v="638.3"/>
        <n v="1867.3"/>
        <n v="957.6"/>
        <n v="239.8"/>
        <n v="1231.2"/>
        <n v="1412.6"/>
        <n v="235.8"/>
        <n v="2100.0"/>
        <n v="1059.3"/>
        <n v="1001.2"/>
        <n v="1007.8"/>
        <n v="1014.5"/>
        <n v="1021.1"/>
        <n v="1027.7"/>
      </sharedItems>
    </cacheField>
    <cacheField name="Month" numFmtId="0">
      <sharedItems>
        <s v="Jan"/>
        <s v="Feb"/>
        <s v="Mar"/>
        <s v="Apr"/>
        <s v="Jun"/>
        <s v="Jul"/>
        <s v="Aug"/>
        <s v="Sep"/>
        <s v="Oct"/>
        <s v="Nov"/>
        <s v="Dec"/>
        <s v="May"/>
      </sharedItems>
    </cacheField>
    <cacheField name="Profit" numFmtId="0">
      <sharedItems containsSemiMixedTypes="0" containsString="0" containsNumber="1" containsInteger="1">
        <n v="88.0"/>
        <n v="133.0"/>
        <n v="73.0"/>
        <n v="55.0"/>
        <n v="176.0"/>
        <n v="85.0"/>
        <n v="41.0"/>
        <n v="151.0"/>
        <n v="134.0"/>
        <n v="37.0"/>
        <n v="48.0"/>
        <n v="336.0"/>
        <n v="71.0"/>
        <n v="122.0"/>
        <n v="309.0"/>
        <n v="53.0"/>
        <n v="342.0"/>
        <n v="300.0"/>
        <n v="4.0"/>
        <n v="20.0"/>
        <n v="7.0"/>
        <n v="68.0"/>
        <n v="44.0"/>
        <n v="19.0"/>
        <n v="90.0"/>
        <n v="40.0"/>
        <n v="13.0"/>
        <n v="35.0"/>
        <n v="107.0"/>
        <n v="29.0"/>
        <n v="302.0"/>
        <n v="18.0"/>
        <n v="50.0"/>
        <n v="21.0"/>
        <n v="105.0"/>
        <n v="189.0"/>
        <n v="87.0"/>
        <n v="296.0"/>
        <n v="215.0"/>
        <n v="12.0"/>
        <n v="67.0"/>
        <n v="51.0"/>
        <n v="24.0"/>
        <n v="30.0"/>
        <n v="273.0"/>
        <n v="36.0"/>
        <n v="63.0"/>
        <n v="58.0"/>
        <n v="359.0"/>
        <n v="38.0"/>
        <n v="630.0"/>
        <n v="780.0"/>
        <n v="83.0"/>
        <n v="271.0"/>
        <n v="198.0"/>
        <n v="91.0"/>
        <n v="318.0"/>
        <n v="56.0"/>
        <n v="600.0"/>
        <n v="69.0"/>
        <n v="199.0"/>
        <n v="201.0"/>
        <n v="203.0"/>
        <n v="205.0"/>
        <n v="207.0"/>
      </sharedItems>
    </cacheField>
    <cacheField name="id2" databaseField="0">
      <fieldGroup base="0">
        <rangePr autoStart="0" autoEnd="0" groupBy="months" startDate="1903-04-15T00:00:00Z" endDate="1903-06-30T00:00:00Z"/>
        <groupItems>
          <s v="&lt;04/15/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30/03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name="Pivot Table 1" cacheId="5" dataCaption="" compact="0" compactData="0">
  <location ref="A1:C7" firstHeaderRow="0" firstDataRow="2" firstDataCol="0"/>
  <pivotFields>
    <pivotField name="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Name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 ID" axis="axisRow" compact="0" outline="0" multipleItemSelectionAllowed="1" showAll="0" sortType="ascending">
      <items>
        <item x="1"/>
        <item x="4"/>
        <item x="0"/>
        <item x="2"/>
        <item x="3"/>
        <item t="default"/>
      </items>
    </pivotField>
    <pivotField name="sales type" compact="0" outline="0" multipleItemSelectionAllowed="1" showAll="0">
      <items>
        <item x="0"/>
        <item t="default"/>
      </items>
    </pivotField>
    <pivotField name="PAYMENT MODE" compact="0" numFmtId="10" outline="0" multipleItemSelectionAllowed="1" showAll="0">
      <items>
        <item x="0"/>
        <item x="1"/>
        <item t="default"/>
      </items>
    </pivotField>
    <pivotField name="DISCOUNT %" compact="0" numFmtId="10" outline="0" multipleItemSelectionAllowed="1" showAll="0">
      <items>
        <item x="0"/>
        <item x="1"/>
        <item x="2"/>
        <item x="3"/>
        <item t="default"/>
      </items>
    </pivotField>
    <pivotField name="Buy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ell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otal Buying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Total Selling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id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4"/>
  </rowFields>
  <colFields>
    <field x="-2"/>
  </colFields>
  <dataFields>
    <dataField name="SUM of Total Buying Price" fld="10" baseField="0"/>
    <dataField name="SUM of Total Selling Price" fld="11" baseField="0"/>
  </dataFields>
</pivotTableDefinition>
</file>

<file path=xl/pivotTables/pivotTable2.xml><?xml version="1.0" encoding="utf-8"?>
<pivotTableDefinition xmlns="http://schemas.openxmlformats.org/spreadsheetml/2006/main" name="Sheet3" cacheId="6" dataCaption="" compact="0" compactData="0">
  <location ref="B2:E16" firstHeaderRow="0" firstDataRow="1" firstDataCol="1"/>
  <pivotFields>
    <pivotField name="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Name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 type" compact="0" outline="0" multipleItemSelectionAllowed="1" showAll="0">
      <items>
        <item x="0"/>
        <item t="default"/>
      </items>
    </pivotField>
    <pivotField name="PAYMENT MODE" axis="axisCol" compact="0" numFmtId="10" outline="0" multipleItemSelectionAllowed="1" showAll="0" sortType="ascending">
      <items>
        <item x="1"/>
        <item x="0"/>
        <item t="default"/>
      </items>
    </pivotField>
    <pivotField name="DISCOUNT %" compact="0" numFmtId="10" outline="0" multipleItemSelectionAllowed="1" showAll="0">
      <items>
        <item x="0"/>
        <item x="1"/>
        <item x="2"/>
        <item x="3"/>
        <item t="default"/>
      </items>
    </pivotField>
    <pivotField name="Buy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ell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otal Buy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Total Sell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Month" axis="axisRow" compact="0" outline="0" multipleItemSelectionAllowed="1" showAll="0" sortType="ascending">
      <items>
        <item x="3"/>
        <item x="6"/>
        <item x="10"/>
        <item x="1"/>
        <item x="0"/>
        <item x="5"/>
        <item x="4"/>
        <item x="2"/>
        <item x="11"/>
        <item x="9"/>
        <item x="8"/>
        <item x="7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id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2"/>
  </rowFields>
  <colFields>
    <field x="6"/>
  </colFields>
  <dataFields>
    <dataField name="SUM of Profit" fld="13" baseField="0"/>
  </dataFields>
</pivotTableDefinition>
</file>

<file path=xl/pivotTables/pivotTable3.xml><?xml version="1.0" encoding="utf-8"?>
<pivotTableDefinition xmlns="http://schemas.openxmlformats.org/spreadsheetml/2006/main" name="Sheet3 2" cacheId="7" dataCaption="" compact="0" compactData="0">
  <location ref="G2:J8" firstHeaderRow="0" firstDataRow="1" firstDataCol="1"/>
  <pivotFields>
    <pivotField name="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Name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 type" compact="0" outline="0" multipleItemSelectionAllowed="1" showAll="0">
      <items>
        <item x="0"/>
        <item t="default"/>
      </items>
    </pivotField>
    <pivotField name="PAYMENT MODE" axis="axisCol" compact="0" numFmtId="10" outline="0" multipleItemSelectionAllowed="1" showAll="0" sortType="ascending">
      <items>
        <item x="1"/>
        <item x="0"/>
        <item t="default"/>
      </items>
    </pivotField>
    <pivotField name="DISCOUNT %" compact="0" numFmtId="10" outline="0" multipleItemSelectionAllowed="1" showAll="0">
      <items>
        <item x="0"/>
        <item x="1"/>
        <item x="2"/>
        <item x="3"/>
        <item t="default"/>
      </items>
    </pivotField>
    <pivotField name="Buy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ell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otal Buy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Total Sell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id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2"/>
  </rowFields>
  <colFields>
    <field x="6"/>
  </colFields>
  <dataFields>
    <dataField name="SUM of Profit" fld="13" baseField="0"/>
  </dataFields>
</pivotTableDefinition>
</file>

<file path=xl/pivotTables/pivotTable4.xml><?xml version="1.0" encoding="utf-8"?>
<pivotTableDefinition xmlns="http://schemas.openxmlformats.org/spreadsheetml/2006/main" name="Sheet3 3" cacheId="8" dataCaption="" compact="0" compactData="0">
  <location ref="G10:I16" firstHeaderRow="0" firstDataRow="2" firstDataCol="0"/>
  <pivotFields>
    <pivotField name="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Name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 ID" axis="axisRow" compact="0" outline="0" multipleItemSelectionAllowed="1" showAll="0" sortType="ascending">
      <items>
        <item x="1"/>
        <item x="4"/>
        <item x="0"/>
        <item x="2"/>
        <item x="3"/>
        <item t="default"/>
      </items>
    </pivotField>
    <pivotField name="sales type" compact="0" outline="0" multipleItemSelectionAllowed="1" showAll="0">
      <items>
        <item x="0"/>
        <item t="default"/>
      </items>
    </pivotField>
    <pivotField name="PAYMENT MODE" compact="0" numFmtId="10" outline="0" multipleItemSelectionAllowed="1" showAll="0">
      <items>
        <item x="0"/>
        <item x="1"/>
        <item t="default"/>
      </items>
    </pivotField>
    <pivotField name="DISCOUNT %" compact="0" numFmtId="10" outline="0" multipleItemSelectionAllowed="1" showAll="0">
      <items>
        <item x="0"/>
        <item x="1"/>
        <item x="2"/>
        <item x="3"/>
        <item t="default"/>
      </items>
    </pivotField>
    <pivotField name="Buy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ell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otal Buying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Total Selling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id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4"/>
  </rowFields>
  <colFields>
    <field x="-2"/>
  </colFields>
  <dataFields>
    <dataField name="SUM of Total Buying Price" fld="10" baseField="0"/>
    <dataField name="SUM of Total Selling Price" fld="11" baseField="0"/>
  </dataFields>
</pivotTableDefinition>
</file>

<file path=xl/pivotTables/pivotTable5.xml><?xml version="1.0" encoding="utf-8"?>
<pivotTableDefinition xmlns="http://schemas.openxmlformats.org/spreadsheetml/2006/main" name="Sheet3 4" cacheId="9" dataCaption="" compact="0" compactData="0">
  <location ref="B17:E31" firstHeaderRow="0" firstDataRow="1" firstDataCol="1"/>
  <pivotFields>
    <pivotField name="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Name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 type" compact="0" outline="0" multipleItemSelectionAllowed="1" showAll="0">
      <items>
        <item x="0"/>
        <item t="default"/>
      </items>
    </pivotField>
    <pivotField name="PAYMENT MODE" axis="axisCol" compact="0" numFmtId="10" outline="0" multipleItemSelectionAllowed="1" showAll="0" sortType="ascending">
      <items>
        <item x="1"/>
        <item x="0"/>
        <item t="default"/>
      </items>
    </pivotField>
    <pivotField name="DISCOUNT %" compact="0" numFmtId="10" outline="0" multipleItemSelectionAllowed="1" showAll="0">
      <items>
        <item x="0"/>
        <item x="1"/>
        <item x="2"/>
        <item x="3"/>
        <item t="default"/>
      </items>
    </pivotField>
    <pivotField name="Buy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ell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otal Buy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Total Selling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Month" axis="axisRow" compact="0" outline="0" multipleItemSelectionAllowed="1" showAll="0" sortType="ascending">
      <items>
        <item x="3"/>
        <item x="6"/>
        <item x="10"/>
        <item x="1"/>
        <item x="0"/>
        <item x="5"/>
        <item x="4"/>
        <item x="2"/>
        <item x="11"/>
        <item x="9"/>
        <item x="8"/>
        <item x="7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id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2"/>
  </rowFields>
  <colFields>
    <field x="6"/>
  </colFields>
  <dataFields>
    <dataField name="SUM of Profit" fld="13" baseField="0"/>
  </dataFields>
</pivotTableDefinition>
</file>

<file path=xl/tables/table1.xml><?xml version="1.0" encoding="utf-8"?>
<table xmlns="http://schemas.openxmlformats.org/spreadsheetml/2006/main" ref="A1:N4" displayName="Table_1" name="Table_1" id="1">
  <tableColumns count="14">
    <tableColumn name="ID" id="1"/>
    <tableColumn name="Date" id="2"/>
    <tableColumn name="Name" id="3"/>
    <tableColumn name="QUANTITY" id="4"/>
    <tableColumn name="PRODUCT ID" id="5"/>
    <tableColumn name="sales type" id="6"/>
    <tableColumn name="PAYMENT MODE" id="7"/>
    <tableColumn name="DISCOUNT %" id="8"/>
    <tableColumn name="Buying Price" id="9"/>
    <tableColumn name="Selling Price" id="10"/>
    <tableColumn name="Total Buying Price" id="11"/>
    <tableColumn name="Total Selling Price" id="12"/>
    <tableColumn name="Month" id="13"/>
    <tableColumn name="Profit" id="14"/>
  </tableColumns>
  <tableStyleInfo name="Detail3-Jul-Cash-style" showColumnStripes="0" showFirstColumn="1" showLastColumn="1" showRowStripes="1"/>
</table>
</file>

<file path=xl/tables/table2.xml><?xml version="1.0" encoding="utf-8"?>
<table xmlns="http://schemas.openxmlformats.org/spreadsheetml/2006/main" ref="A1:N11" displayName="Table_2" name="Table_2" id="2">
  <tableColumns count="14">
    <tableColumn name="ID" id="1"/>
    <tableColumn name="Date" id="2"/>
    <tableColumn name="Name" id="3"/>
    <tableColumn name="QUANTITY" id="4"/>
    <tableColumn name="PRODUCT ID" id="5"/>
    <tableColumn name="sales type" id="6"/>
    <tableColumn name="PAYMENT MODE" id="7"/>
    <tableColumn name="DISCOUNT %" id="8"/>
    <tableColumn name="Buying Price" id="9"/>
    <tableColumn name="Selling Price" id="10"/>
    <tableColumn name="Total Buying Price" id="11"/>
    <tableColumn name="Total Selling Price" id="12"/>
    <tableColumn name="Month" id="13"/>
    <tableColumn name="Profit" id="14"/>
  </tableColumns>
  <tableStyleInfo name="Detail2-P0025-style" showColumnStripes="0" showFirstColumn="1" showLastColumn="1" showRowStripes="1"/>
</table>
</file>

<file path=xl/tables/table3.xml><?xml version="1.0" encoding="utf-8"?>
<table xmlns="http://schemas.openxmlformats.org/spreadsheetml/2006/main" ref="A1:N5" displayName="Table_3" name="Table_3" id="3">
  <tableColumns count="14">
    <tableColumn name="ID" id="1"/>
    <tableColumn name="Date" id="2"/>
    <tableColumn name="Name" id="3"/>
    <tableColumn name="QUANTITY" id="4"/>
    <tableColumn name="PRODUCT ID" id="5"/>
    <tableColumn name="sales type" id="6"/>
    <tableColumn name="PAYMENT MODE" id="7"/>
    <tableColumn name="DISCOUNT %" id="8"/>
    <tableColumn name="Buying Price" id="9"/>
    <tableColumn name="Selling Price" id="10"/>
    <tableColumn name="Total Buying Price" id="11"/>
    <tableColumn name="Total Selling Price" id="12"/>
    <tableColumn name="Month" id="13"/>
    <tableColumn name="Profit" id="14"/>
  </tableColumns>
  <tableStyleInfo name="Detail1-Aug-Ca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75"/>
    <col customWidth="1" min="11" max="11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1201.0</v>
      </c>
      <c r="B2" s="3">
        <v>44215.0</v>
      </c>
      <c r="C2" s="4" t="s">
        <v>14</v>
      </c>
      <c r="D2" s="4">
        <v>9.0</v>
      </c>
      <c r="E2" s="4" t="s">
        <v>15</v>
      </c>
      <c r="F2" s="4" t="s">
        <v>16</v>
      </c>
      <c r="G2" s="5" t="s">
        <v>17</v>
      </c>
      <c r="H2" s="5">
        <v>0.02</v>
      </c>
      <c r="I2" s="4">
        <v>144.0</v>
      </c>
      <c r="J2" s="4">
        <v>156.96</v>
      </c>
      <c r="K2" s="4">
        <v>1296.0</v>
      </c>
      <c r="L2" s="4">
        <v>1384.4</v>
      </c>
      <c r="M2" s="4" t="s">
        <v>18</v>
      </c>
      <c r="N2" s="4">
        <v>88.0</v>
      </c>
    </row>
    <row r="3">
      <c r="A3" s="7">
        <v>1202.0</v>
      </c>
      <c r="B3" s="7">
        <v>44216.0</v>
      </c>
      <c r="C3" s="9" t="s">
        <v>19</v>
      </c>
      <c r="D3" s="9">
        <v>4.0</v>
      </c>
      <c r="E3" s="9" t="s">
        <v>20</v>
      </c>
      <c r="F3" s="9" t="s">
        <v>21</v>
      </c>
      <c r="G3" s="10" t="s">
        <v>22</v>
      </c>
      <c r="H3" s="10">
        <v>0.01</v>
      </c>
      <c r="I3" s="9">
        <v>112.0</v>
      </c>
      <c r="J3" s="9">
        <v>146.72</v>
      </c>
      <c r="K3" s="9">
        <v>448.0</v>
      </c>
      <c r="L3" s="9">
        <v>581.0</v>
      </c>
      <c r="M3" s="9" t="s">
        <v>18</v>
      </c>
      <c r="N3" s="9">
        <v>133.0</v>
      </c>
    </row>
    <row r="4">
      <c r="A4" s="3">
        <v>1203.0</v>
      </c>
      <c r="B4" s="3">
        <v>44217.0</v>
      </c>
      <c r="C4" s="4" t="s">
        <v>23</v>
      </c>
      <c r="D4" s="4">
        <v>15.0</v>
      </c>
      <c r="E4" s="4" t="s">
        <v>20</v>
      </c>
      <c r="F4" s="4" t="s">
        <v>16</v>
      </c>
      <c r="G4" s="5" t="s">
        <v>24</v>
      </c>
      <c r="H4" s="5">
        <v>0.0</v>
      </c>
      <c r="I4" s="4">
        <v>87.0</v>
      </c>
      <c r="J4" s="4">
        <v>215.0</v>
      </c>
      <c r="K4" s="4">
        <v>660.0</v>
      </c>
      <c r="L4" s="4">
        <v>732.6</v>
      </c>
      <c r="M4" s="4" t="s">
        <v>18</v>
      </c>
      <c r="N4" s="4">
        <v>73.0</v>
      </c>
    </row>
    <row r="5">
      <c r="A5" s="7">
        <v>1204.0</v>
      </c>
      <c r="B5" s="7">
        <v>44222.0</v>
      </c>
      <c r="C5" s="9" t="s">
        <v>25</v>
      </c>
      <c r="D5" s="9">
        <v>9.0</v>
      </c>
      <c r="E5" s="9" t="s">
        <v>15</v>
      </c>
      <c r="F5" s="9" t="s">
        <v>16</v>
      </c>
      <c r="G5" s="10" t="s">
        <v>24</v>
      </c>
      <c r="H5" s="10">
        <v>0.0</v>
      </c>
      <c r="I5" s="9">
        <v>76.0</v>
      </c>
      <c r="J5" s="9">
        <v>82.08</v>
      </c>
      <c r="K5" s="9">
        <v>684.0</v>
      </c>
      <c r="L5" s="9">
        <v>738.7</v>
      </c>
      <c r="M5" s="9" t="s">
        <v>18</v>
      </c>
      <c r="N5" s="9">
        <v>55.0</v>
      </c>
    </row>
    <row r="6">
      <c r="A6" s="3">
        <v>1205.0</v>
      </c>
      <c r="B6" s="3">
        <v>44223.0</v>
      </c>
      <c r="C6" s="4" t="s">
        <v>19</v>
      </c>
      <c r="D6" s="4">
        <v>7.0</v>
      </c>
      <c r="E6" s="4" t="s">
        <v>26</v>
      </c>
      <c r="F6" s="4" t="s">
        <v>16</v>
      </c>
      <c r="G6" s="5" t="s">
        <v>17</v>
      </c>
      <c r="H6" s="5">
        <v>0.0</v>
      </c>
      <c r="I6" s="4">
        <v>90.0</v>
      </c>
      <c r="J6" s="4">
        <v>115.2</v>
      </c>
      <c r="K6" s="4">
        <v>630.0</v>
      </c>
      <c r="L6" s="4">
        <v>806.4</v>
      </c>
      <c r="M6" s="4" t="s">
        <v>18</v>
      </c>
      <c r="N6" s="4">
        <v>176.0</v>
      </c>
    </row>
    <row r="7">
      <c r="A7" s="7">
        <v>1206.0</v>
      </c>
      <c r="B7" s="7">
        <v>44223.0</v>
      </c>
      <c r="C7" s="9" t="s">
        <v>19</v>
      </c>
      <c r="D7" s="9">
        <v>3.0</v>
      </c>
      <c r="E7" s="9" t="s">
        <v>28</v>
      </c>
      <c r="F7" s="9" t="s">
        <v>16</v>
      </c>
      <c r="G7" s="10" t="s">
        <v>17</v>
      </c>
      <c r="H7" s="10">
        <v>0.0</v>
      </c>
      <c r="I7" s="9">
        <v>89.0</v>
      </c>
      <c r="J7" s="9">
        <v>117.48</v>
      </c>
      <c r="K7" s="9">
        <v>267.0</v>
      </c>
      <c r="L7" s="9">
        <v>352.4</v>
      </c>
      <c r="M7" s="9" t="s">
        <v>18</v>
      </c>
      <c r="N7" s="9">
        <v>85.0</v>
      </c>
    </row>
    <row r="8">
      <c r="A8" s="3">
        <v>1207.0</v>
      </c>
      <c r="B8" s="3">
        <v>44230.0</v>
      </c>
      <c r="C8" s="4" t="s">
        <v>25</v>
      </c>
      <c r="D8" s="4">
        <v>2.0</v>
      </c>
      <c r="E8" s="4" t="s">
        <v>26</v>
      </c>
      <c r="F8" s="4" t="s">
        <v>16</v>
      </c>
      <c r="G8" s="5" t="s">
        <v>24</v>
      </c>
      <c r="H8" s="5">
        <v>0.0</v>
      </c>
      <c r="I8" s="4">
        <v>121.0</v>
      </c>
      <c r="J8" s="4">
        <v>141.57</v>
      </c>
      <c r="K8" s="4">
        <v>242.0</v>
      </c>
      <c r="L8" s="4">
        <v>283.1</v>
      </c>
      <c r="M8" s="4" t="s">
        <v>29</v>
      </c>
      <c r="N8" s="4">
        <v>41.0</v>
      </c>
    </row>
    <row r="9">
      <c r="A9" s="7">
        <v>1208.0</v>
      </c>
      <c r="B9" s="7">
        <v>44252.0</v>
      </c>
      <c r="C9" s="9" t="s">
        <v>23</v>
      </c>
      <c r="D9" s="9">
        <v>4.0</v>
      </c>
      <c r="E9" s="9" t="s">
        <v>26</v>
      </c>
      <c r="F9" s="9" t="s">
        <v>16</v>
      </c>
      <c r="G9" s="10" t="s">
        <v>17</v>
      </c>
      <c r="H9" s="10">
        <v>0.0</v>
      </c>
      <c r="I9" s="9">
        <v>105.0</v>
      </c>
      <c r="J9" s="9">
        <v>142.8</v>
      </c>
      <c r="K9" s="9">
        <v>420.0</v>
      </c>
      <c r="L9" s="9">
        <v>571.2</v>
      </c>
      <c r="M9" s="9" t="s">
        <v>29</v>
      </c>
      <c r="N9" s="9">
        <v>151.0</v>
      </c>
    </row>
    <row r="10">
      <c r="A10" s="3">
        <v>1209.0</v>
      </c>
      <c r="B10" s="3">
        <v>44254.0</v>
      </c>
      <c r="C10" s="4" t="s">
        <v>14</v>
      </c>
      <c r="D10" s="4">
        <v>11.0</v>
      </c>
      <c r="E10" s="4" t="s">
        <v>15</v>
      </c>
      <c r="F10" s="4" t="s">
        <v>16</v>
      </c>
      <c r="G10" s="5" t="s">
        <v>17</v>
      </c>
      <c r="H10" s="5">
        <v>0.0</v>
      </c>
      <c r="I10" s="4">
        <v>37.0</v>
      </c>
      <c r="J10" s="4">
        <v>49.21</v>
      </c>
      <c r="K10" s="4">
        <v>407.0</v>
      </c>
      <c r="L10" s="4">
        <v>541.3</v>
      </c>
      <c r="M10" s="4" t="s">
        <v>29</v>
      </c>
      <c r="N10" s="4">
        <v>134.0</v>
      </c>
    </row>
    <row r="11">
      <c r="A11" s="7">
        <v>1210.0</v>
      </c>
      <c r="B11" s="7">
        <v>44264.0</v>
      </c>
      <c r="C11" s="9" t="s">
        <v>25</v>
      </c>
      <c r="D11" s="9">
        <v>6.0</v>
      </c>
      <c r="E11" s="9" t="s">
        <v>28</v>
      </c>
      <c r="F11" s="9" t="s">
        <v>16</v>
      </c>
      <c r="G11" s="10" t="s">
        <v>17</v>
      </c>
      <c r="H11" s="10">
        <v>0.0</v>
      </c>
      <c r="I11" s="17"/>
      <c r="J11" s="9">
        <v>53.11</v>
      </c>
      <c r="K11" s="9">
        <v>282.0</v>
      </c>
      <c r="L11" s="9">
        <v>318.7</v>
      </c>
      <c r="M11" s="9" t="s">
        <v>30</v>
      </c>
      <c r="N11" s="9">
        <v>37.0</v>
      </c>
    </row>
    <row r="12">
      <c r="A12" s="3">
        <v>1211.0</v>
      </c>
      <c r="B12" s="3">
        <v>44268.0</v>
      </c>
      <c r="C12" s="4" t="s">
        <v>14</v>
      </c>
      <c r="D12" s="4">
        <v>10.0</v>
      </c>
      <c r="E12" s="4" t="s">
        <v>20</v>
      </c>
      <c r="F12" s="4" t="s">
        <v>16</v>
      </c>
      <c r="G12" s="5" t="s">
        <v>24</v>
      </c>
      <c r="H12" s="5">
        <v>0.0</v>
      </c>
      <c r="I12" s="4">
        <v>37.0</v>
      </c>
      <c r="J12" s="4">
        <v>41.81</v>
      </c>
      <c r="K12" s="4">
        <v>370.0</v>
      </c>
      <c r="L12" s="4">
        <v>418.1</v>
      </c>
      <c r="M12" s="4" t="s">
        <v>30</v>
      </c>
      <c r="N12" s="4">
        <v>48.0</v>
      </c>
    </row>
    <row r="13">
      <c r="A13" s="7">
        <v>1212.0</v>
      </c>
      <c r="B13" s="7">
        <v>44273.0</v>
      </c>
      <c r="C13" s="9" t="s">
        <v>23</v>
      </c>
      <c r="D13" s="9">
        <v>8.0</v>
      </c>
      <c r="E13" s="9" t="s">
        <v>28</v>
      </c>
      <c r="F13" s="9" t="s">
        <v>16</v>
      </c>
      <c r="G13" s="10" t="s">
        <v>24</v>
      </c>
      <c r="H13" s="10">
        <v>0.0</v>
      </c>
      <c r="I13" s="9">
        <v>120.0</v>
      </c>
      <c r="J13" s="9">
        <v>162.0</v>
      </c>
      <c r="K13" s="9">
        <v>960.0</v>
      </c>
      <c r="L13" s="9">
        <v>1296.0</v>
      </c>
      <c r="M13" s="9" t="s">
        <v>30</v>
      </c>
      <c r="N13" s="9">
        <v>336.0</v>
      </c>
    </row>
    <row r="14">
      <c r="A14" s="3">
        <v>1213.0</v>
      </c>
      <c r="B14" s="3">
        <v>44304.0</v>
      </c>
      <c r="C14" s="4" t="s">
        <v>19</v>
      </c>
      <c r="D14" s="4">
        <v>9.0</v>
      </c>
      <c r="E14" s="4" t="s">
        <v>20</v>
      </c>
      <c r="F14" s="4" t="s">
        <v>16</v>
      </c>
      <c r="G14" s="5" t="s">
        <v>22</v>
      </c>
      <c r="H14" s="5">
        <v>0.0</v>
      </c>
      <c r="I14" s="4">
        <v>72.0</v>
      </c>
      <c r="J14" s="4">
        <v>79.92</v>
      </c>
      <c r="K14" s="4">
        <v>648.0</v>
      </c>
      <c r="L14" s="4">
        <v>719.3</v>
      </c>
      <c r="M14" s="4" t="s">
        <v>31</v>
      </c>
      <c r="N14" s="4">
        <v>71.0</v>
      </c>
    </row>
    <row r="15">
      <c r="A15" s="7">
        <v>1214.0</v>
      </c>
      <c r="B15" s="7">
        <v>44351.0</v>
      </c>
      <c r="C15" s="9" t="s">
        <v>19</v>
      </c>
      <c r="D15" s="9">
        <v>8.0</v>
      </c>
      <c r="E15" s="9" t="s">
        <v>28</v>
      </c>
      <c r="F15" s="9" t="s">
        <v>16</v>
      </c>
      <c r="G15" s="10" t="s">
        <v>17</v>
      </c>
      <c r="H15" s="10">
        <v>0.0</v>
      </c>
      <c r="I15" s="9">
        <v>61.0</v>
      </c>
      <c r="J15" s="9">
        <v>76.25</v>
      </c>
      <c r="K15" s="9">
        <v>488.0</v>
      </c>
      <c r="L15" s="9">
        <v>610.0</v>
      </c>
      <c r="M15" s="9" t="s">
        <v>32</v>
      </c>
      <c r="N15" s="9">
        <v>122.0</v>
      </c>
    </row>
    <row r="16">
      <c r="A16" s="3">
        <v>1215.0</v>
      </c>
      <c r="B16" s="3">
        <v>44352.0</v>
      </c>
      <c r="C16" s="4" t="s">
        <v>25</v>
      </c>
      <c r="D16" s="4">
        <v>15.0</v>
      </c>
      <c r="E16" s="4" t="s">
        <v>20</v>
      </c>
      <c r="F16" s="4" t="s">
        <v>16</v>
      </c>
      <c r="G16" s="5" t="s">
        <v>17</v>
      </c>
      <c r="H16" s="5">
        <v>0.0</v>
      </c>
      <c r="I16" s="4">
        <v>121.0</v>
      </c>
      <c r="J16" s="4">
        <v>141.57</v>
      </c>
      <c r="K16" s="4">
        <v>1815.0</v>
      </c>
      <c r="L16" s="4">
        <v>2123.6</v>
      </c>
      <c r="M16" s="4" t="s">
        <v>32</v>
      </c>
      <c r="N16" s="4">
        <v>309.0</v>
      </c>
    </row>
    <row r="17">
      <c r="A17" s="7">
        <v>1216.0</v>
      </c>
      <c r="B17" s="7">
        <v>44355.0</v>
      </c>
      <c r="C17" s="9" t="s">
        <v>19</v>
      </c>
      <c r="D17" s="9">
        <v>11.0</v>
      </c>
      <c r="E17" s="9" t="s">
        <v>26</v>
      </c>
      <c r="F17" s="9" t="s">
        <v>16</v>
      </c>
      <c r="G17" s="10" t="s">
        <v>24</v>
      </c>
      <c r="H17" s="10">
        <v>0.0</v>
      </c>
      <c r="I17" s="9">
        <v>44.0</v>
      </c>
      <c r="J17" s="9">
        <v>48.84</v>
      </c>
      <c r="K17" s="9">
        <v>484.0</v>
      </c>
      <c r="L17" s="9">
        <v>537.2</v>
      </c>
      <c r="M17" s="9" t="s">
        <v>32</v>
      </c>
      <c r="N17" s="9">
        <v>53.0</v>
      </c>
    </row>
    <row r="18">
      <c r="A18" s="3">
        <v>1217.0</v>
      </c>
      <c r="B18" s="3">
        <v>44358.0</v>
      </c>
      <c r="C18" s="4" t="s">
        <v>23</v>
      </c>
      <c r="D18" s="4">
        <v>12.0</v>
      </c>
      <c r="E18" s="4" t="s">
        <v>33</v>
      </c>
      <c r="F18" s="4" t="s">
        <v>16</v>
      </c>
      <c r="G18" s="5" t="s">
        <v>24</v>
      </c>
      <c r="H18" s="5">
        <v>0.0</v>
      </c>
      <c r="I18" s="4">
        <v>89.0</v>
      </c>
      <c r="J18" s="4">
        <v>117.48</v>
      </c>
      <c r="K18" s="4">
        <v>1068.0</v>
      </c>
      <c r="L18" s="4">
        <v>1409.8</v>
      </c>
      <c r="M18" s="4" t="s">
        <v>32</v>
      </c>
      <c r="N18" s="4">
        <v>342.0</v>
      </c>
    </row>
    <row r="19">
      <c r="A19" s="7">
        <v>1218.0</v>
      </c>
      <c r="B19" s="7">
        <v>44363.0</v>
      </c>
      <c r="C19" s="9" t="s">
        <v>19</v>
      </c>
      <c r="D19" s="9">
        <v>5.0</v>
      </c>
      <c r="E19" s="9" t="s">
        <v>33</v>
      </c>
      <c r="F19" s="9" t="s">
        <v>16</v>
      </c>
      <c r="G19" s="10" t="s">
        <v>24</v>
      </c>
      <c r="H19" s="10">
        <v>0.0</v>
      </c>
      <c r="I19" s="9">
        <v>150.0</v>
      </c>
      <c r="J19" s="9">
        <v>210.0</v>
      </c>
      <c r="K19" s="9">
        <v>750.0</v>
      </c>
      <c r="L19" s="9">
        <v>1050.0</v>
      </c>
      <c r="M19" s="9" t="s">
        <v>32</v>
      </c>
      <c r="N19" s="9">
        <v>300.0</v>
      </c>
    </row>
    <row r="20">
      <c r="A20" s="3">
        <v>1219.0</v>
      </c>
      <c r="B20" s="3">
        <v>44367.0</v>
      </c>
      <c r="C20" s="4" t="s">
        <v>25</v>
      </c>
      <c r="D20" s="4">
        <v>1.0</v>
      </c>
      <c r="E20" s="4" t="s">
        <v>20</v>
      </c>
      <c r="F20" s="4" t="s">
        <v>16</v>
      </c>
      <c r="G20" s="5" t="s">
        <v>24</v>
      </c>
      <c r="H20" s="5">
        <v>0.0</v>
      </c>
      <c r="I20" s="4">
        <v>13.0</v>
      </c>
      <c r="J20" s="4">
        <v>16.64</v>
      </c>
      <c r="K20" s="4">
        <v>13.0</v>
      </c>
      <c r="L20" s="4">
        <v>16.6</v>
      </c>
      <c r="M20" s="4" t="s">
        <v>32</v>
      </c>
      <c r="N20" s="4">
        <v>4.0</v>
      </c>
    </row>
    <row r="21">
      <c r="A21" s="7">
        <v>1220.0</v>
      </c>
      <c r="B21" s="7">
        <v>44387.0</v>
      </c>
      <c r="C21" s="9" t="s">
        <v>14</v>
      </c>
      <c r="D21" s="9">
        <v>6.0</v>
      </c>
      <c r="E21" s="9" t="s">
        <v>15</v>
      </c>
      <c r="F21" s="9" t="s">
        <v>16</v>
      </c>
      <c r="G21" s="10" t="s">
        <v>24</v>
      </c>
      <c r="H21" s="10">
        <v>0.0</v>
      </c>
      <c r="I21" s="9">
        <v>55.0</v>
      </c>
      <c r="J21" s="9">
        <v>58.3</v>
      </c>
      <c r="K21" s="9">
        <v>330.0</v>
      </c>
      <c r="L21" s="9">
        <v>349.8</v>
      </c>
      <c r="M21" s="9" t="s">
        <v>27</v>
      </c>
      <c r="N21" s="9">
        <v>20.0</v>
      </c>
    </row>
    <row r="22">
      <c r="A22" s="3">
        <v>1221.0</v>
      </c>
      <c r="B22" s="3">
        <v>44388.0</v>
      </c>
      <c r="C22" s="4" t="s">
        <v>25</v>
      </c>
      <c r="D22" s="4">
        <v>4.0</v>
      </c>
      <c r="E22" s="4" t="s">
        <v>20</v>
      </c>
      <c r="F22" s="4" t="s">
        <v>16</v>
      </c>
      <c r="G22" s="5" t="s">
        <v>17</v>
      </c>
      <c r="H22" s="5">
        <v>0.0</v>
      </c>
      <c r="I22" s="4">
        <v>6.0</v>
      </c>
      <c r="J22" s="4">
        <v>7.86</v>
      </c>
      <c r="K22" s="4">
        <v>24.0</v>
      </c>
      <c r="L22" s="4">
        <v>31.4</v>
      </c>
      <c r="M22" s="4" t="s">
        <v>27</v>
      </c>
      <c r="N22" s="4">
        <v>7.0</v>
      </c>
    </row>
    <row r="23">
      <c r="A23" s="7">
        <v>1222.0</v>
      </c>
      <c r="B23" s="7">
        <v>44393.0</v>
      </c>
      <c r="C23" s="9" t="s">
        <v>19</v>
      </c>
      <c r="D23" s="9">
        <v>8.0</v>
      </c>
      <c r="E23" s="9" t="s">
        <v>28</v>
      </c>
      <c r="F23" s="9" t="s">
        <v>16</v>
      </c>
      <c r="G23" s="10" t="s">
        <v>24</v>
      </c>
      <c r="H23" s="10">
        <v>0.0</v>
      </c>
      <c r="I23" s="9">
        <v>141.0</v>
      </c>
      <c r="J23" s="9">
        <v>149.46</v>
      </c>
      <c r="K23" s="9">
        <v>1128.0</v>
      </c>
      <c r="L23" s="9">
        <v>1195.7</v>
      </c>
      <c r="M23" s="9" t="s">
        <v>27</v>
      </c>
      <c r="N23" s="9">
        <v>68.0</v>
      </c>
    </row>
    <row r="24">
      <c r="A24" s="3">
        <v>1223.0</v>
      </c>
      <c r="B24" s="3">
        <v>44399.0</v>
      </c>
      <c r="C24" s="4" t="s">
        <v>23</v>
      </c>
      <c r="D24" s="4">
        <v>3.0</v>
      </c>
      <c r="E24" s="4" t="s">
        <v>28</v>
      </c>
      <c r="F24" s="4" t="s">
        <v>16</v>
      </c>
      <c r="G24" s="5" t="s">
        <v>24</v>
      </c>
      <c r="H24" s="5">
        <v>0.0</v>
      </c>
      <c r="I24" s="4">
        <v>18.0</v>
      </c>
      <c r="J24" s="4">
        <v>24.66</v>
      </c>
      <c r="K24" s="4">
        <v>54.0</v>
      </c>
      <c r="L24" s="4">
        <v>74.0</v>
      </c>
      <c r="M24" s="4" t="s">
        <v>27</v>
      </c>
      <c r="N24" s="4">
        <v>20.0</v>
      </c>
    </row>
    <row r="25">
      <c r="A25" s="7">
        <v>1224.0</v>
      </c>
      <c r="B25" s="7">
        <v>44400.0</v>
      </c>
      <c r="C25" s="9" t="s">
        <v>19</v>
      </c>
      <c r="D25" s="9">
        <v>7.0</v>
      </c>
      <c r="E25" s="9" t="s">
        <v>33</v>
      </c>
      <c r="F25" s="9" t="s">
        <v>16</v>
      </c>
      <c r="G25" s="10" t="s">
        <v>17</v>
      </c>
      <c r="H25" s="10">
        <v>0.0</v>
      </c>
      <c r="I25" s="9">
        <v>90.0</v>
      </c>
      <c r="J25" s="9">
        <v>96.3</v>
      </c>
      <c r="K25" s="9">
        <v>630.0</v>
      </c>
      <c r="L25" s="9">
        <v>674.1</v>
      </c>
      <c r="M25" s="9" t="s">
        <v>27</v>
      </c>
      <c r="N25" s="9">
        <v>44.0</v>
      </c>
    </row>
    <row r="26">
      <c r="A26" s="3">
        <v>1225.0</v>
      </c>
      <c r="B26" s="3">
        <v>44414.0</v>
      </c>
      <c r="C26" s="4" t="s">
        <v>19</v>
      </c>
      <c r="D26" s="4">
        <v>1.0</v>
      </c>
      <c r="E26" s="4" t="s">
        <v>28</v>
      </c>
      <c r="F26" s="4" t="s">
        <v>16</v>
      </c>
      <c r="G26" s="5" t="s">
        <v>24</v>
      </c>
      <c r="H26" s="5">
        <v>0.0</v>
      </c>
      <c r="I26" s="4">
        <v>67.0</v>
      </c>
      <c r="J26" s="4">
        <v>85.76</v>
      </c>
      <c r="K26" s="4">
        <v>67.0</v>
      </c>
      <c r="L26" s="4">
        <v>85.8</v>
      </c>
      <c r="M26" s="4" t="s">
        <v>34</v>
      </c>
      <c r="N26" s="4">
        <v>19.0</v>
      </c>
    </row>
    <row r="27">
      <c r="A27" s="7">
        <v>1226.0</v>
      </c>
      <c r="B27" s="7">
        <v>44418.0</v>
      </c>
      <c r="C27" s="9" t="s">
        <v>14</v>
      </c>
      <c r="D27" s="9">
        <v>4.0</v>
      </c>
      <c r="E27" s="9" t="s">
        <v>26</v>
      </c>
      <c r="F27" s="9" t="s">
        <v>16</v>
      </c>
      <c r="G27" s="10" t="s">
        <v>24</v>
      </c>
      <c r="H27" s="10">
        <v>0.0</v>
      </c>
      <c r="I27" s="9">
        <v>133.0</v>
      </c>
      <c r="J27" s="9">
        <v>155.61</v>
      </c>
      <c r="K27" s="9">
        <v>532.0</v>
      </c>
      <c r="L27" s="9">
        <v>622.4</v>
      </c>
      <c r="M27" s="9" t="s">
        <v>34</v>
      </c>
      <c r="N27" s="9">
        <v>90.0</v>
      </c>
    </row>
    <row r="28">
      <c r="A28" s="3">
        <v>1227.0</v>
      </c>
      <c r="B28" s="3">
        <v>44437.0</v>
      </c>
      <c r="C28" s="4" t="s">
        <v>25</v>
      </c>
      <c r="D28" s="4">
        <v>12.0</v>
      </c>
      <c r="E28" s="4" t="s">
        <v>26</v>
      </c>
      <c r="F28" s="4" t="s">
        <v>16</v>
      </c>
      <c r="G28" s="5" t="s">
        <v>17</v>
      </c>
      <c r="H28" s="5">
        <v>0.0</v>
      </c>
      <c r="I28" s="4">
        <v>55.0</v>
      </c>
      <c r="J28" s="4">
        <v>58.3</v>
      </c>
      <c r="K28" s="4">
        <v>660.0</v>
      </c>
      <c r="L28" s="4">
        <v>699.6</v>
      </c>
      <c r="M28" s="4" t="s">
        <v>34</v>
      </c>
      <c r="N28" s="4">
        <v>40.0</v>
      </c>
    </row>
    <row r="29">
      <c r="A29" s="7">
        <v>1228.0</v>
      </c>
      <c r="B29" s="7">
        <v>44440.0</v>
      </c>
      <c r="C29" s="9" t="s">
        <v>23</v>
      </c>
      <c r="D29" s="9">
        <v>1.0</v>
      </c>
      <c r="E29" s="9" t="s">
        <v>20</v>
      </c>
      <c r="F29" s="9" t="s">
        <v>16</v>
      </c>
      <c r="G29" s="10" t="s">
        <v>24</v>
      </c>
      <c r="H29" s="10">
        <v>0.0</v>
      </c>
      <c r="I29" s="9">
        <v>144.0</v>
      </c>
      <c r="J29" s="9">
        <v>156.96</v>
      </c>
      <c r="K29" s="9">
        <v>144.0</v>
      </c>
      <c r="L29" s="9">
        <v>157.0</v>
      </c>
      <c r="M29" s="9" t="s">
        <v>36</v>
      </c>
      <c r="N29" s="9">
        <v>13.0</v>
      </c>
    </row>
    <row r="30">
      <c r="A30" s="3">
        <v>1229.0</v>
      </c>
      <c r="B30" s="3">
        <v>44449.0</v>
      </c>
      <c r="C30" s="4" t="s">
        <v>19</v>
      </c>
      <c r="D30" s="4">
        <v>9.0</v>
      </c>
      <c r="E30" s="4" t="s">
        <v>28</v>
      </c>
      <c r="F30" s="4" t="s">
        <v>16</v>
      </c>
      <c r="G30" s="5" t="s">
        <v>17</v>
      </c>
      <c r="H30" s="5">
        <v>0.0</v>
      </c>
      <c r="I30" s="4">
        <v>98.0</v>
      </c>
      <c r="J30" s="4">
        <v>103.88</v>
      </c>
      <c r="K30" s="4">
        <v>882.0</v>
      </c>
      <c r="L30" s="4">
        <v>934.9</v>
      </c>
      <c r="M30" s="4" t="s">
        <v>36</v>
      </c>
      <c r="N30" s="4">
        <v>53.0</v>
      </c>
    </row>
    <row r="31">
      <c r="A31" s="7">
        <v>1230.0</v>
      </c>
      <c r="B31" s="7">
        <v>44450.0</v>
      </c>
      <c r="C31" s="9" t="s">
        <v>25</v>
      </c>
      <c r="D31" s="9">
        <v>6.0</v>
      </c>
      <c r="E31" s="9" t="s">
        <v>26</v>
      </c>
      <c r="F31" s="9" t="s">
        <v>16</v>
      </c>
      <c r="G31" s="10" t="s">
        <v>17</v>
      </c>
      <c r="H31" s="10">
        <v>0.0</v>
      </c>
      <c r="I31" s="9">
        <v>98.0</v>
      </c>
      <c r="J31" s="9">
        <v>103.88</v>
      </c>
      <c r="K31" s="9">
        <v>588.0</v>
      </c>
      <c r="L31" s="9">
        <v>623.3</v>
      </c>
      <c r="M31" s="9" t="s">
        <v>36</v>
      </c>
      <c r="N31" s="9">
        <v>35.0</v>
      </c>
    </row>
    <row r="32">
      <c r="A32" s="3">
        <v>1230.0</v>
      </c>
      <c r="B32" s="3">
        <v>44460.0</v>
      </c>
      <c r="C32" s="4" t="s">
        <v>23</v>
      </c>
      <c r="D32" s="4">
        <v>7.0</v>
      </c>
      <c r="E32" s="4" t="s">
        <v>28</v>
      </c>
      <c r="F32" s="4" t="s">
        <v>16</v>
      </c>
      <c r="G32" s="5" t="s">
        <v>24</v>
      </c>
      <c r="H32" s="5">
        <v>0.0</v>
      </c>
      <c r="I32" s="4">
        <v>61.0</v>
      </c>
      <c r="J32" s="4">
        <v>76.25</v>
      </c>
      <c r="K32" s="4">
        <v>427.0</v>
      </c>
      <c r="L32" s="4">
        <v>533.8</v>
      </c>
      <c r="M32" s="4" t="s">
        <v>36</v>
      </c>
      <c r="N32" s="4">
        <v>107.0</v>
      </c>
    </row>
    <row r="33">
      <c r="A33" s="7">
        <v>1232.0</v>
      </c>
      <c r="B33" s="7">
        <v>44493.0</v>
      </c>
      <c r="C33" s="9" t="s">
        <v>19</v>
      </c>
      <c r="D33" s="9">
        <v>3.0</v>
      </c>
      <c r="E33" s="9" t="s">
        <v>15</v>
      </c>
      <c r="F33" s="9" t="s">
        <v>16</v>
      </c>
      <c r="G33" s="10" t="s">
        <v>24</v>
      </c>
      <c r="H33" s="10">
        <v>0.0</v>
      </c>
      <c r="I33" s="9">
        <v>44.0</v>
      </c>
      <c r="J33" s="9">
        <v>48.4</v>
      </c>
      <c r="K33" s="9">
        <v>132.0</v>
      </c>
      <c r="L33" s="9">
        <v>145.2</v>
      </c>
      <c r="M33" s="9" t="s">
        <v>38</v>
      </c>
      <c r="N33" s="9">
        <v>13.0</v>
      </c>
    </row>
    <row r="34">
      <c r="A34" s="3">
        <v>1233.0</v>
      </c>
      <c r="B34" s="3">
        <v>44495.0</v>
      </c>
      <c r="C34" s="4" t="s">
        <v>25</v>
      </c>
      <c r="D34" s="4">
        <v>6.0</v>
      </c>
      <c r="E34" s="4" t="s">
        <v>15</v>
      </c>
      <c r="F34" s="4" t="s">
        <v>16</v>
      </c>
      <c r="G34" s="5" t="s">
        <v>24</v>
      </c>
      <c r="H34" s="5">
        <v>0.0</v>
      </c>
      <c r="I34" s="4">
        <v>44.0</v>
      </c>
      <c r="J34" s="4">
        <v>48.84</v>
      </c>
      <c r="K34" s="4">
        <v>264.0</v>
      </c>
      <c r="L34" s="4">
        <v>293.0</v>
      </c>
      <c r="M34" s="4" t="s">
        <v>38</v>
      </c>
      <c r="N34" s="4">
        <v>29.0</v>
      </c>
    </row>
    <row r="35">
      <c r="A35" s="7">
        <v>1234.0</v>
      </c>
      <c r="B35" s="7">
        <v>44511.0</v>
      </c>
      <c r="C35" s="9" t="s">
        <v>23</v>
      </c>
      <c r="D35" s="9">
        <v>12.0</v>
      </c>
      <c r="E35" s="9" t="s">
        <v>26</v>
      </c>
      <c r="F35" s="9" t="s">
        <v>16</v>
      </c>
      <c r="G35" s="10" t="s">
        <v>17</v>
      </c>
      <c r="H35" s="10">
        <v>0.0</v>
      </c>
      <c r="I35" s="9">
        <v>90.0</v>
      </c>
      <c r="J35" s="9">
        <v>115.2</v>
      </c>
      <c r="K35" s="9">
        <v>1080.0</v>
      </c>
      <c r="L35" s="9">
        <v>1382.4</v>
      </c>
      <c r="M35" s="9" t="s">
        <v>35</v>
      </c>
      <c r="N35" s="9">
        <v>302.0</v>
      </c>
    </row>
    <row r="36">
      <c r="A36" s="3">
        <v>1235.0</v>
      </c>
      <c r="B36" s="3">
        <v>44521.0</v>
      </c>
      <c r="C36" s="4" t="s">
        <v>23</v>
      </c>
      <c r="D36" s="4">
        <v>1.0</v>
      </c>
      <c r="E36" s="4" t="s">
        <v>33</v>
      </c>
      <c r="F36" s="4" t="s">
        <v>16</v>
      </c>
      <c r="G36" s="5" t="s">
        <v>17</v>
      </c>
      <c r="H36" s="5">
        <v>0.0</v>
      </c>
      <c r="I36" s="4">
        <v>112.0</v>
      </c>
      <c r="J36" s="4">
        <v>146.72</v>
      </c>
      <c r="K36" s="4">
        <v>112.0</v>
      </c>
      <c r="L36" s="4">
        <v>146.7</v>
      </c>
      <c r="M36" s="4" t="s">
        <v>35</v>
      </c>
      <c r="N36" s="4">
        <v>35.0</v>
      </c>
    </row>
    <row r="37">
      <c r="A37" s="7">
        <v>1236.0</v>
      </c>
      <c r="B37" s="7">
        <v>44549.0</v>
      </c>
      <c r="C37" s="9" t="s">
        <v>25</v>
      </c>
      <c r="D37" s="9">
        <v>3.0</v>
      </c>
      <c r="E37" s="9" t="s">
        <v>33</v>
      </c>
      <c r="F37" s="9" t="s">
        <v>16</v>
      </c>
      <c r="G37" s="10" t="s">
        <v>17</v>
      </c>
      <c r="H37" s="10">
        <v>0.0</v>
      </c>
      <c r="I37" s="9">
        <v>47.0</v>
      </c>
      <c r="J37" s="9">
        <v>53.11</v>
      </c>
      <c r="K37" s="9">
        <v>141.0</v>
      </c>
      <c r="L37" s="9">
        <v>159.3</v>
      </c>
      <c r="M37" s="9" t="s">
        <v>37</v>
      </c>
      <c r="N37" s="9">
        <v>18.0</v>
      </c>
    </row>
    <row r="38">
      <c r="A38" s="3">
        <v>1237.0</v>
      </c>
      <c r="B38" s="3">
        <v>44554.0</v>
      </c>
      <c r="C38" s="4" t="s">
        <v>14</v>
      </c>
      <c r="D38" s="4">
        <v>8.0</v>
      </c>
      <c r="E38" s="4" t="s">
        <v>28</v>
      </c>
      <c r="F38" s="4" t="s">
        <v>16</v>
      </c>
      <c r="G38" s="5" t="s">
        <v>24</v>
      </c>
      <c r="H38" s="5">
        <v>0.0</v>
      </c>
      <c r="I38" s="4">
        <v>120.0</v>
      </c>
      <c r="J38" s="4">
        <v>162.0</v>
      </c>
      <c r="K38" s="4">
        <v>960.0</v>
      </c>
      <c r="L38" s="4">
        <v>1296.0</v>
      </c>
      <c r="M38" s="4" t="s">
        <v>37</v>
      </c>
      <c r="N38" s="4">
        <v>336.0</v>
      </c>
    </row>
    <row r="39">
      <c r="A39" s="7">
        <v>1238.0</v>
      </c>
      <c r="B39" s="7">
        <v>44554.0</v>
      </c>
      <c r="C39" s="9" t="s">
        <v>19</v>
      </c>
      <c r="D39" s="9">
        <v>8.0</v>
      </c>
      <c r="E39" s="9" t="s">
        <v>15</v>
      </c>
      <c r="F39" s="9" t="s">
        <v>16</v>
      </c>
      <c r="G39" s="10" t="s">
        <v>17</v>
      </c>
      <c r="H39" s="10">
        <v>0.0</v>
      </c>
      <c r="I39" s="9">
        <v>90.0</v>
      </c>
      <c r="J39" s="9">
        <v>96.3</v>
      </c>
      <c r="K39" s="9">
        <v>720.0</v>
      </c>
      <c r="L39" s="9">
        <v>770.4</v>
      </c>
      <c r="M39" s="9" t="s">
        <v>37</v>
      </c>
      <c r="N39" s="9">
        <v>50.0</v>
      </c>
    </row>
    <row r="40">
      <c r="A40" s="3">
        <v>1239.0</v>
      </c>
      <c r="B40" s="3">
        <v>44562.0</v>
      </c>
      <c r="C40" s="4" t="s">
        <v>23</v>
      </c>
      <c r="D40" s="4">
        <v>1.0</v>
      </c>
      <c r="E40" s="4" t="s">
        <v>28</v>
      </c>
      <c r="F40" s="4" t="s">
        <v>16</v>
      </c>
      <c r="G40" s="5" t="s">
        <v>24</v>
      </c>
      <c r="H40" s="5">
        <v>0.0</v>
      </c>
      <c r="I40" s="4">
        <v>121.0</v>
      </c>
      <c r="J40" s="4">
        <v>141.57</v>
      </c>
      <c r="K40" s="4">
        <v>121.0</v>
      </c>
      <c r="L40" s="4">
        <v>141.6</v>
      </c>
      <c r="M40" s="4" t="s">
        <v>18</v>
      </c>
      <c r="N40" s="4">
        <v>21.0</v>
      </c>
    </row>
    <row r="41">
      <c r="A41" s="7">
        <v>1240.0</v>
      </c>
      <c r="B41" s="7">
        <v>44579.0</v>
      </c>
      <c r="C41" s="9" t="s">
        <v>25</v>
      </c>
      <c r="D41" s="9">
        <v>9.0</v>
      </c>
      <c r="E41" s="9" t="s">
        <v>15</v>
      </c>
      <c r="F41" s="9" t="s">
        <v>16</v>
      </c>
      <c r="G41" s="10" t="s">
        <v>24</v>
      </c>
      <c r="H41" s="10">
        <v>0.0</v>
      </c>
      <c r="I41" s="9">
        <v>83.0</v>
      </c>
      <c r="J41" s="9">
        <v>94.62</v>
      </c>
      <c r="K41" s="9">
        <v>747.0</v>
      </c>
      <c r="L41" s="9">
        <v>851.6</v>
      </c>
      <c r="M41" s="9" t="s">
        <v>18</v>
      </c>
      <c r="N41" s="9">
        <v>105.0</v>
      </c>
    </row>
    <row r="42">
      <c r="A42" s="3">
        <v>1241.0</v>
      </c>
      <c r="B42" s="3">
        <v>44584.0</v>
      </c>
      <c r="C42" s="4" t="s">
        <v>19</v>
      </c>
      <c r="D42" s="4">
        <v>5.0</v>
      </c>
      <c r="E42" s="4" t="s">
        <v>33</v>
      </c>
      <c r="F42" s="4" t="s">
        <v>16</v>
      </c>
      <c r="G42" s="5" t="s">
        <v>24</v>
      </c>
      <c r="H42" s="5">
        <v>0.0</v>
      </c>
      <c r="I42" s="4">
        <v>105.0</v>
      </c>
      <c r="J42" s="4">
        <v>142.8</v>
      </c>
      <c r="K42" s="4">
        <v>525.0</v>
      </c>
      <c r="L42" s="4">
        <v>714.0</v>
      </c>
      <c r="M42" s="4" t="s">
        <v>18</v>
      </c>
      <c r="N42" s="4">
        <v>189.0</v>
      </c>
    </row>
    <row r="43">
      <c r="A43" s="7">
        <v>1242.0</v>
      </c>
      <c r="B43" s="7">
        <v>44624.0</v>
      </c>
      <c r="C43" s="9" t="s">
        <v>14</v>
      </c>
      <c r="D43" s="9">
        <v>13.0</v>
      </c>
      <c r="E43" s="9" t="s">
        <v>28</v>
      </c>
      <c r="F43" s="9" t="s">
        <v>16</v>
      </c>
      <c r="G43" s="10" t="s">
        <v>17</v>
      </c>
      <c r="H43" s="10">
        <v>0.0</v>
      </c>
      <c r="I43" s="9">
        <v>18.0</v>
      </c>
      <c r="J43" s="9">
        <v>24.66</v>
      </c>
      <c r="K43" s="9">
        <v>234.0</v>
      </c>
      <c r="L43" s="9">
        <v>320.6</v>
      </c>
      <c r="M43" s="9" t="s">
        <v>30</v>
      </c>
      <c r="N43" s="9">
        <v>87.0</v>
      </c>
    </row>
    <row r="44">
      <c r="A44" s="3">
        <v>1243.0</v>
      </c>
      <c r="B44" s="3">
        <v>44630.0</v>
      </c>
      <c r="C44" s="4" t="s">
        <v>19</v>
      </c>
      <c r="D44" s="4">
        <v>12.0</v>
      </c>
      <c r="E44" s="4" t="s">
        <v>28</v>
      </c>
      <c r="F44" s="4" t="s">
        <v>16</v>
      </c>
      <c r="G44" s="5" t="s">
        <v>17</v>
      </c>
      <c r="H44" s="5">
        <v>0.0</v>
      </c>
      <c r="I44" s="4">
        <v>95.0</v>
      </c>
      <c r="J44" s="4">
        <v>119.7</v>
      </c>
      <c r="K44" s="4">
        <v>1140.0</v>
      </c>
      <c r="L44" s="4">
        <v>1436.4</v>
      </c>
      <c r="M44" s="4" t="s">
        <v>30</v>
      </c>
      <c r="N44" s="4">
        <v>296.0</v>
      </c>
    </row>
    <row r="45">
      <c r="A45" s="7">
        <v>1244.0</v>
      </c>
      <c r="B45" s="7">
        <v>44639.0</v>
      </c>
      <c r="C45" s="9" t="s">
        <v>14</v>
      </c>
      <c r="D45" s="9">
        <v>6.0</v>
      </c>
      <c r="E45" s="9" t="s">
        <v>33</v>
      </c>
      <c r="F45" s="9" t="s">
        <v>16</v>
      </c>
      <c r="G45" s="10" t="s">
        <v>24</v>
      </c>
      <c r="H45" s="10">
        <v>0.0</v>
      </c>
      <c r="I45" s="9">
        <v>138.0</v>
      </c>
      <c r="J45" s="9">
        <v>173.88</v>
      </c>
      <c r="K45" s="9">
        <v>828.0</v>
      </c>
      <c r="L45" s="9">
        <v>1043.3</v>
      </c>
      <c r="M45" s="9" t="s">
        <v>30</v>
      </c>
      <c r="N45" s="9">
        <v>215.0</v>
      </c>
    </row>
    <row r="46">
      <c r="A46" s="3">
        <v>1245.0</v>
      </c>
      <c r="B46" s="3">
        <v>44645.0</v>
      </c>
      <c r="C46" s="4" t="s">
        <v>19</v>
      </c>
      <c r="D46" s="4">
        <v>2.0</v>
      </c>
      <c r="E46" s="4" t="s">
        <v>28</v>
      </c>
      <c r="F46" s="4" t="s">
        <v>16</v>
      </c>
      <c r="G46" s="5" t="s">
        <v>17</v>
      </c>
      <c r="H46" s="5">
        <v>0.0</v>
      </c>
      <c r="I46" s="4">
        <v>98.0</v>
      </c>
      <c r="J46" s="4">
        <v>103.88</v>
      </c>
      <c r="K46" s="4">
        <v>196.0</v>
      </c>
      <c r="L46" s="4">
        <v>207.8</v>
      </c>
      <c r="M46" s="4" t="s">
        <v>30</v>
      </c>
      <c r="N46" s="4">
        <v>12.0</v>
      </c>
    </row>
    <row r="47">
      <c r="A47" s="7">
        <v>1246.0</v>
      </c>
      <c r="B47" s="7">
        <v>44657.0</v>
      </c>
      <c r="C47" s="9" t="s">
        <v>25</v>
      </c>
      <c r="D47" s="9">
        <v>2.0</v>
      </c>
      <c r="E47" s="9" t="s">
        <v>26</v>
      </c>
      <c r="F47" s="9" t="s">
        <v>16</v>
      </c>
      <c r="G47" s="10" t="s">
        <v>24</v>
      </c>
      <c r="H47" s="10">
        <v>0.0</v>
      </c>
      <c r="I47" s="9">
        <v>90.0</v>
      </c>
      <c r="J47" s="9">
        <v>115.2</v>
      </c>
      <c r="K47" s="9">
        <v>180.0</v>
      </c>
      <c r="L47" s="9">
        <v>230.4</v>
      </c>
      <c r="M47" s="9" t="s">
        <v>31</v>
      </c>
      <c r="N47" s="9">
        <v>50.0</v>
      </c>
    </row>
    <row r="48">
      <c r="A48" s="3">
        <v>1247.0</v>
      </c>
      <c r="B48" s="3">
        <v>44660.0</v>
      </c>
      <c r="C48" s="4" t="s">
        <v>25</v>
      </c>
      <c r="D48" s="4">
        <v>12.0</v>
      </c>
      <c r="E48" s="4" t="s">
        <v>15</v>
      </c>
      <c r="F48" s="4" t="s">
        <v>16</v>
      </c>
      <c r="G48" s="5" t="s">
        <v>24</v>
      </c>
      <c r="H48" s="5">
        <v>0.0</v>
      </c>
      <c r="I48" s="4">
        <v>37.0</v>
      </c>
      <c r="J48" s="4">
        <v>42.55</v>
      </c>
      <c r="K48" s="4">
        <v>444.0</v>
      </c>
      <c r="L48" s="4">
        <v>510.6</v>
      </c>
      <c r="M48" s="4" t="s">
        <v>31</v>
      </c>
      <c r="N48" s="4">
        <v>67.0</v>
      </c>
    </row>
    <row r="49">
      <c r="A49" s="7">
        <v>1248.0</v>
      </c>
      <c r="B49" s="7">
        <v>44664.0</v>
      </c>
      <c r="C49" s="9" t="s">
        <v>14</v>
      </c>
      <c r="D49" s="9">
        <v>14.0</v>
      </c>
      <c r="E49" s="9" t="s">
        <v>33</v>
      </c>
      <c r="F49" s="9" t="s">
        <v>16</v>
      </c>
      <c r="G49" s="10" t="s">
        <v>17</v>
      </c>
      <c r="H49" s="10">
        <v>0.0</v>
      </c>
      <c r="I49" s="9">
        <v>13.0</v>
      </c>
      <c r="J49" s="9">
        <v>16.64</v>
      </c>
      <c r="K49" s="9">
        <v>182.0</v>
      </c>
      <c r="L49" s="9">
        <v>233.0</v>
      </c>
      <c r="M49" s="9" t="s">
        <v>31</v>
      </c>
      <c r="N49" s="9">
        <v>51.0</v>
      </c>
    </row>
    <row r="50">
      <c r="A50" s="3">
        <v>1249.0</v>
      </c>
      <c r="B50" s="3">
        <v>44671.0</v>
      </c>
      <c r="C50" s="4" t="s">
        <v>19</v>
      </c>
      <c r="D50" s="4">
        <v>2.0</v>
      </c>
      <c r="E50" s="4" t="s">
        <v>28</v>
      </c>
      <c r="F50" s="4" t="s">
        <v>16</v>
      </c>
      <c r="G50" s="5" t="s">
        <v>17</v>
      </c>
      <c r="H50" s="5">
        <v>0.0</v>
      </c>
      <c r="I50" s="4">
        <v>37.0</v>
      </c>
      <c r="J50" s="4">
        <v>49.21</v>
      </c>
      <c r="K50" s="4">
        <v>74.0</v>
      </c>
      <c r="L50" s="4">
        <v>98.4</v>
      </c>
      <c r="M50" s="4" t="s">
        <v>31</v>
      </c>
      <c r="N50" s="4">
        <v>24.0</v>
      </c>
    </row>
    <row r="51">
      <c r="A51" s="20">
        <v>1250.0</v>
      </c>
      <c r="B51" s="20">
        <v>44682.0</v>
      </c>
      <c r="C51" s="9" t="s">
        <v>23</v>
      </c>
      <c r="D51" s="9">
        <v>9.0</v>
      </c>
      <c r="E51" s="9" t="s">
        <v>15</v>
      </c>
      <c r="F51" s="9" t="s">
        <v>16</v>
      </c>
      <c r="G51" s="10" t="s">
        <v>17</v>
      </c>
      <c r="H51" s="10">
        <v>0.0</v>
      </c>
      <c r="I51" s="9">
        <v>55.0</v>
      </c>
      <c r="J51" s="9">
        <v>58.3</v>
      </c>
      <c r="K51" s="9">
        <v>495.0</v>
      </c>
      <c r="L51" s="9">
        <v>524.7</v>
      </c>
      <c r="M51" s="9" t="s">
        <v>39</v>
      </c>
      <c r="N51" s="9">
        <v>30.0</v>
      </c>
    </row>
    <row r="52">
      <c r="A52" s="21">
        <v>1251.0</v>
      </c>
      <c r="B52" s="21">
        <v>44690.0</v>
      </c>
      <c r="C52" s="4" t="s">
        <v>14</v>
      </c>
      <c r="D52" s="4">
        <v>12.0</v>
      </c>
      <c r="E52" s="4" t="s">
        <v>33</v>
      </c>
      <c r="F52" s="4" t="s">
        <v>16</v>
      </c>
      <c r="G52" s="5" t="s">
        <v>24</v>
      </c>
      <c r="H52" s="5">
        <v>0.0</v>
      </c>
      <c r="I52" s="4">
        <v>134.0</v>
      </c>
      <c r="J52" s="4">
        <v>156.78</v>
      </c>
      <c r="K52" s="4">
        <v>1608.0</v>
      </c>
      <c r="L52" s="4">
        <v>1881.4</v>
      </c>
      <c r="M52" s="4" t="s">
        <v>39</v>
      </c>
      <c r="N52" s="4">
        <v>273.0</v>
      </c>
    </row>
    <row r="53">
      <c r="A53" s="20">
        <v>1252.0</v>
      </c>
      <c r="B53" s="20">
        <v>44699.0</v>
      </c>
      <c r="C53" s="9" t="s">
        <v>19</v>
      </c>
      <c r="D53" s="9">
        <v>4.0</v>
      </c>
      <c r="E53" s="9" t="s">
        <v>26</v>
      </c>
      <c r="F53" s="9" t="s">
        <v>16</v>
      </c>
      <c r="G53" s="10" t="s">
        <v>17</v>
      </c>
      <c r="H53" s="10">
        <v>0.0</v>
      </c>
      <c r="I53" s="9">
        <v>48.0</v>
      </c>
      <c r="J53" s="9">
        <v>57.12</v>
      </c>
      <c r="K53" s="9">
        <v>192.0</v>
      </c>
      <c r="L53" s="9">
        <v>228.5</v>
      </c>
      <c r="M53" s="9" t="s">
        <v>39</v>
      </c>
      <c r="N53" s="9">
        <v>36.0</v>
      </c>
    </row>
    <row r="54">
      <c r="A54" s="21">
        <v>1253.0</v>
      </c>
      <c r="B54" s="21">
        <v>44699.0</v>
      </c>
      <c r="C54" s="4" t="s">
        <v>19</v>
      </c>
      <c r="D54" s="4">
        <v>8.0</v>
      </c>
      <c r="E54" s="4" t="s">
        <v>28</v>
      </c>
      <c r="F54" s="4" t="s">
        <v>16</v>
      </c>
      <c r="G54" s="5" t="s">
        <v>17</v>
      </c>
      <c r="H54" s="5">
        <v>0.0</v>
      </c>
      <c r="I54" s="4">
        <v>72.0</v>
      </c>
      <c r="J54" s="4">
        <v>79.92</v>
      </c>
      <c r="K54" s="4">
        <v>576.0</v>
      </c>
      <c r="L54" s="4">
        <v>639.4</v>
      </c>
      <c r="M54" s="4" t="s">
        <v>39</v>
      </c>
      <c r="N54" s="4">
        <v>63.0</v>
      </c>
    </row>
    <row r="55">
      <c r="A55" s="20">
        <v>1254.0</v>
      </c>
      <c r="B55" s="20">
        <v>44709.0</v>
      </c>
      <c r="C55" s="9" t="s">
        <v>14</v>
      </c>
      <c r="D55" s="9">
        <v>5.0</v>
      </c>
      <c r="E55" s="9" t="s">
        <v>28</v>
      </c>
      <c r="F55" s="9" t="s">
        <v>16</v>
      </c>
      <c r="G55" s="10" t="s">
        <v>17</v>
      </c>
      <c r="H55" s="10">
        <v>0.0</v>
      </c>
      <c r="I55" s="9">
        <v>83.0</v>
      </c>
      <c r="J55" s="9">
        <v>94.62</v>
      </c>
      <c r="K55" s="9">
        <v>415.0</v>
      </c>
      <c r="L55" s="9">
        <v>473.1</v>
      </c>
      <c r="M55" s="9" t="s">
        <v>39</v>
      </c>
      <c r="N55" s="9">
        <v>58.0</v>
      </c>
    </row>
    <row r="56">
      <c r="A56" s="21">
        <v>1255.0</v>
      </c>
      <c r="B56" s="21">
        <v>44709.0</v>
      </c>
      <c r="C56" s="4" t="s">
        <v>19</v>
      </c>
      <c r="D56" s="4">
        <v>10.0</v>
      </c>
      <c r="E56" s="4" t="s">
        <v>28</v>
      </c>
      <c r="F56" s="4" t="s">
        <v>16</v>
      </c>
      <c r="G56" s="5" t="s">
        <v>24</v>
      </c>
      <c r="H56" s="5">
        <v>0.0</v>
      </c>
      <c r="I56" s="4">
        <v>138.0</v>
      </c>
      <c r="J56" s="4">
        <v>173.88</v>
      </c>
      <c r="K56" s="4">
        <v>1380.0</v>
      </c>
      <c r="L56" s="4">
        <v>1738.8</v>
      </c>
      <c r="M56" s="4" t="s">
        <v>39</v>
      </c>
      <c r="N56" s="4">
        <v>359.0</v>
      </c>
    </row>
    <row r="57">
      <c r="A57" s="20">
        <v>1256.0</v>
      </c>
      <c r="B57" s="20">
        <v>44711.0</v>
      </c>
      <c r="C57" s="9" t="s">
        <v>25</v>
      </c>
      <c r="D57" s="9">
        <v>4.0</v>
      </c>
      <c r="E57" s="9" t="s">
        <v>33</v>
      </c>
      <c r="F57" s="9" t="s">
        <v>16</v>
      </c>
      <c r="G57" s="10" t="s">
        <v>24</v>
      </c>
      <c r="H57" s="10">
        <v>0.0</v>
      </c>
      <c r="I57" s="9">
        <v>133.0</v>
      </c>
      <c r="J57" s="9">
        <v>155.61</v>
      </c>
      <c r="K57" s="9">
        <v>532.0</v>
      </c>
      <c r="L57" s="9">
        <v>622.4</v>
      </c>
      <c r="M57" s="9" t="s">
        <v>39</v>
      </c>
      <c r="N57" s="9">
        <v>90.0</v>
      </c>
    </row>
    <row r="58">
      <c r="A58" s="3">
        <v>1257.0</v>
      </c>
      <c r="B58" s="3">
        <v>44722.0</v>
      </c>
      <c r="C58" s="4" t="s">
        <v>19</v>
      </c>
      <c r="D58" s="4">
        <v>8.0</v>
      </c>
      <c r="E58" s="4" t="s">
        <v>20</v>
      </c>
      <c r="F58" s="4" t="s">
        <v>16</v>
      </c>
      <c r="G58" s="5" t="s">
        <v>22</v>
      </c>
      <c r="H58" s="5">
        <v>0.0</v>
      </c>
      <c r="I58" s="4">
        <v>37.0</v>
      </c>
      <c r="J58" s="4">
        <v>41.81</v>
      </c>
      <c r="K58" s="4">
        <v>296.0</v>
      </c>
      <c r="L58" s="4">
        <v>334.5</v>
      </c>
      <c r="M58" s="4" t="s">
        <v>32</v>
      </c>
      <c r="N58" s="4">
        <v>38.0</v>
      </c>
    </row>
    <row r="59">
      <c r="A59" s="7">
        <v>1258.0</v>
      </c>
      <c r="B59" s="7">
        <v>44727.0</v>
      </c>
      <c r="C59" s="9" t="s">
        <v>19</v>
      </c>
      <c r="D59" s="9">
        <v>15.0</v>
      </c>
      <c r="E59" s="9" t="s">
        <v>15</v>
      </c>
      <c r="F59" s="9" t="s">
        <v>16</v>
      </c>
      <c r="G59" s="10" t="s">
        <v>17</v>
      </c>
      <c r="H59" s="10">
        <v>0.0</v>
      </c>
      <c r="I59" s="9">
        <v>120.0</v>
      </c>
      <c r="J59" s="9">
        <v>162.0</v>
      </c>
      <c r="K59" s="9">
        <v>1800.0</v>
      </c>
      <c r="L59" s="9">
        <v>2430.0</v>
      </c>
      <c r="M59" s="9" t="s">
        <v>32</v>
      </c>
      <c r="N59" s="9">
        <v>630.0</v>
      </c>
    </row>
    <row r="60">
      <c r="A60" s="3">
        <v>1259.0</v>
      </c>
      <c r="B60" s="3">
        <v>44762.0</v>
      </c>
      <c r="C60" s="4" t="s">
        <v>23</v>
      </c>
      <c r="D60" s="4">
        <v>8.0</v>
      </c>
      <c r="E60" s="4" t="s">
        <v>20</v>
      </c>
      <c r="F60" s="4" t="s">
        <v>16</v>
      </c>
      <c r="G60" s="5" t="s">
        <v>17</v>
      </c>
      <c r="H60" s="5">
        <v>0.0</v>
      </c>
      <c r="I60" s="4">
        <v>120.0</v>
      </c>
      <c r="J60" s="4">
        <v>162.0</v>
      </c>
      <c r="K60" s="4">
        <v>960.0</v>
      </c>
      <c r="L60" s="4">
        <v>1296.0</v>
      </c>
      <c r="M60" s="4" t="s">
        <v>27</v>
      </c>
      <c r="N60" s="4">
        <v>336.0</v>
      </c>
    </row>
    <row r="61">
      <c r="A61" s="7">
        <v>1260.0</v>
      </c>
      <c r="B61" s="7">
        <v>44788.0</v>
      </c>
      <c r="C61" s="9" t="s">
        <v>14</v>
      </c>
      <c r="D61" s="9">
        <v>10.0</v>
      </c>
      <c r="E61" s="9" t="s">
        <v>28</v>
      </c>
      <c r="F61" s="9" t="s">
        <v>16</v>
      </c>
      <c r="G61" s="10" t="s">
        <v>24</v>
      </c>
      <c r="H61" s="10">
        <v>0.0</v>
      </c>
      <c r="I61" s="9">
        <v>44.0</v>
      </c>
      <c r="J61" s="9">
        <v>48.4</v>
      </c>
      <c r="K61" s="9">
        <v>440.0</v>
      </c>
      <c r="L61" s="9">
        <v>484.0</v>
      </c>
      <c r="M61" s="9" t="s">
        <v>34</v>
      </c>
      <c r="N61" s="9">
        <v>44.0</v>
      </c>
    </row>
    <row r="62">
      <c r="A62" s="3">
        <v>1261.0</v>
      </c>
      <c r="B62" s="3">
        <v>44799.0</v>
      </c>
      <c r="C62" s="4" t="s">
        <v>25</v>
      </c>
      <c r="D62" s="4">
        <v>13.0</v>
      </c>
      <c r="E62" s="4" t="s">
        <v>20</v>
      </c>
      <c r="F62" s="4" t="s">
        <v>16</v>
      </c>
      <c r="G62" s="5" t="s">
        <v>24</v>
      </c>
      <c r="H62" s="5">
        <v>0.0</v>
      </c>
      <c r="I62" s="4">
        <v>150.0</v>
      </c>
      <c r="J62" s="4">
        <v>210.0</v>
      </c>
      <c r="K62" s="4">
        <v>1950.0</v>
      </c>
      <c r="L62" s="4">
        <v>2730.0</v>
      </c>
      <c r="M62" s="4" t="s">
        <v>34</v>
      </c>
      <c r="N62" s="4">
        <v>780.0</v>
      </c>
    </row>
    <row r="63">
      <c r="A63" s="7">
        <v>1262.0</v>
      </c>
      <c r="B63" s="7">
        <v>44800.0</v>
      </c>
      <c r="C63" s="9" t="s">
        <v>25</v>
      </c>
      <c r="D63" s="9">
        <v>15.0</v>
      </c>
      <c r="E63" s="9" t="s">
        <v>20</v>
      </c>
      <c r="F63" s="9" t="s">
        <v>16</v>
      </c>
      <c r="G63" s="10" t="s">
        <v>17</v>
      </c>
      <c r="H63" s="10">
        <v>0.0</v>
      </c>
      <c r="I63" s="9">
        <v>37.0</v>
      </c>
      <c r="J63" s="9">
        <v>42.55</v>
      </c>
      <c r="K63" s="9">
        <v>555.0</v>
      </c>
      <c r="L63" s="9">
        <v>638.3</v>
      </c>
      <c r="M63" s="9" t="s">
        <v>34</v>
      </c>
      <c r="N63" s="9">
        <v>83.0</v>
      </c>
    </row>
    <row r="64">
      <c r="A64" s="3">
        <v>1263.0</v>
      </c>
      <c r="B64" s="3">
        <v>44810.0</v>
      </c>
      <c r="C64" s="4" t="s">
        <v>19</v>
      </c>
      <c r="D64" s="4">
        <v>12.0</v>
      </c>
      <c r="E64" s="4" t="s">
        <v>15</v>
      </c>
      <c r="F64" s="4" t="s">
        <v>16</v>
      </c>
      <c r="G64" s="5" t="s">
        <v>17</v>
      </c>
      <c r="H64" s="5">
        <v>0.0</v>
      </c>
      <c r="I64" s="4">
        <v>133.0</v>
      </c>
      <c r="J64" s="4">
        <v>155.61</v>
      </c>
      <c r="K64" s="4">
        <v>1596.0</v>
      </c>
      <c r="L64" s="4">
        <v>1867.3</v>
      </c>
      <c r="M64" s="4" t="s">
        <v>36</v>
      </c>
      <c r="N64" s="4">
        <v>271.0</v>
      </c>
    </row>
    <row r="65">
      <c r="A65" s="7">
        <v>1264.0</v>
      </c>
      <c r="B65" s="7">
        <v>44823.0</v>
      </c>
      <c r="C65" s="9" t="s">
        <v>14</v>
      </c>
      <c r="D65" s="9">
        <v>8.0</v>
      </c>
      <c r="E65" s="9" t="s">
        <v>28</v>
      </c>
      <c r="F65" s="9" t="s">
        <v>16</v>
      </c>
      <c r="G65" s="10" t="s">
        <v>24</v>
      </c>
      <c r="H65" s="10">
        <v>0.0</v>
      </c>
      <c r="I65" s="9">
        <v>95.0</v>
      </c>
      <c r="J65" s="9">
        <v>119.7</v>
      </c>
      <c r="K65" s="9">
        <v>760.0</v>
      </c>
      <c r="L65" s="9">
        <v>957.6</v>
      </c>
      <c r="M65" s="9" t="s">
        <v>36</v>
      </c>
      <c r="N65" s="9">
        <v>198.0</v>
      </c>
    </row>
    <row r="66">
      <c r="A66" s="3">
        <v>1265.0</v>
      </c>
      <c r="B66" s="3">
        <v>44831.0</v>
      </c>
      <c r="C66" s="4" t="s">
        <v>25</v>
      </c>
      <c r="D66" s="4">
        <v>3.0</v>
      </c>
      <c r="E66" s="4" t="s">
        <v>26</v>
      </c>
      <c r="F66" s="4" t="s">
        <v>16</v>
      </c>
      <c r="G66" s="5" t="s">
        <v>24</v>
      </c>
      <c r="H66" s="5">
        <v>0.0</v>
      </c>
      <c r="I66" s="4">
        <v>72.0</v>
      </c>
      <c r="J66" s="4">
        <v>79.92</v>
      </c>
      <c r="K66" s="4">
        <v>216.0</v>
      </c>
      <c r="L66" s="4">
        <v>239.8</v>
      </c>
      <c r="M66" s="4" t="s">
        <v>36</v>
      </c>
      <c r="N66" s="4">
        <v>24.0</v>
      </c>
    </row>
    <row r="67">
      <c r="A67" s="7">
        <v>1266.0</v>
      </c>
      <c r="B67" s="7">
        <v>44848.0</v>
      </c>
      <c r="C67" s="9" t="s">
        <v>23</v>
      </c>
      <c r="D67" s="9">
        <v>15.0</v>
      </c>
      <c r="E67" s="9" t="s">
        <v>26</v>
      </c>
      <c r="F67" s="9" t="s">
        <v>16</v>
      </c>
      <c r="G67" s="10" t="s">
        <v>17</v>
      </c>
      <c r="H67" s="10">
        <v>0.0</v>
      </c>
      <c r="I67" s="9">
        <v>76.0</v>
      </c>
      <c r="J67" s="9">
        <v>82.08</v>
      </c>
      <c r="K67" s="9">
        <v>1140.0</v>
      </c>
      <c r="L67" s="9">
        <v>1231.2</v>
      </c>
      <c r="M67" s="9" t="s">
        <v>38</v>
      </c>
      <c r="N67" s="9">
        <v>91.0</v>
      </c>
    </row>
    <row r="68">
      <c r="A68" s="3">
        <v>1267.0</v>
      </c>
      <c r="B68" s="3">
        <v>44866.0</v>
      </c>
      <c r="C68" s="4" t="s">
        <v>23</v>
      </c>
      <c r="D68" s="4">
        <v>15.0</v>
      </c>
      <c r="E68" s="4" t="s">
        <v>15</v>
      </c>
      <c r="F68" s="4" t="s">
        <v>16</v>
      </c>
      <c r="G68" s="5" t="s">
        <v>17</v>
      </c>
      <c r="H68" s="5">
        <v>0.0</v>
      </c>
      <c r="I68" s="4">
        <v>73.0</v>
      </c>
      <c r="J68" s="4">
        <v>94.17</v>
      </c>
      <c r="K68" s="4">
        <v>1095.0</v>
      </c>
      <c r="L68" s="4">
        <v>1412.6</v>
      </c>
      <c r="M68" s="4" t="s">
        <v>35</v>
      </c>
      <c r="N68" s="4">
        <v>318.0</v>
      </c>
    </row>
    <row r="69">
      <c r="A69" s="7">
        <v>1268.0</v>
      </c>
      <c r="B69" s="7">
        <v>44867.0</v>
      </c>
      <c r="C69" s="9" t="s">
        <v>25</v>
      </c>
      <c r="D69" s="9">
        <v>15.0</v>
      </c>
      <c r="E69" s="9" t="s">
        <v>20</v>
      </c>
      <c r="F69" s="9" t="s">
        <v>16</v>
      </c>
      <c r="G69" s="10" t="s">
        <v>24</v>
      </c>
      <c r="H69" s="10">
        <v>0.0</v>
      </c>
      <c r="I69" s="9">
        <v>12.0</v>
      </c>
      <c r="J69" s="9">
        <v>15.72</v>
      </c>
      <c r="K69" s="9">
        <v>180.0</v>
      </c>
      <c r="L69" s="9">
        <v>235.8</v>
      </c>
      <c r="M69" s="9" t="s">
        <v>35</v>
      </c>
      <c r="N69" s="9">
        <v>56.0</v>
      </c>
    </row>
    <row r="70">
      <c r="A70" s="3">
        <v>1269.0</v>
      </c>
      <c r="B70" s="3">
        <v>44873.0</v>
      </c>
      <c r="C70" s="4" t="s">
        <v>25</v>
      </c>
      <c r="D70" s="4">
        <v>10.0</v>
      </c>
      <c r="E70" s="4" t="s">
        <v>20</v>
      </c>
      <c r="F70" s="4" t="s">
        <v>16</v>
      </c>
      <c r="G70" s="5" t="s">
        <v>17</v>
      </c>
      <c r="H70" s="5">
        <v>0.0</v>
      </c>
      <c r="I70" s="4">
        <v>150.0</v>
      </c>
      <c r="J70" s="4">
        <v>210.0</v>
      </c>
      <c r="K70" s="4">
        <v>1500.0</v>
      </c>
      <c r="L70" s="4">
        <v>2100.0</v>
      </c>
      <c r="M70" s="4" t="s">
        <v>35</v>
      </c>
      <c r="N70" s="4">
        <v>600.0</v>
      </c>
    </row>
    <row r="71">
      <c r="A71" s="7">
        <v>1270.0</v>
      </c>
      <c r="B71" s="7">
        <v>44873.0</v>
      </c>
      <c r="C71" s="9" t="s">
        <v>14</v>
      </c>
      <c r="D71" s="9">
        <v>11.0</v>
      </c>
      <c r="E71" s="9" t="s">
        <v>26</v>
      </c>
      <c r="F71" s="9" t="s">
        <v>16</v>
      </c>
      <c r="G71" s="10" t="s">
        <v>24</v>
      </c>
      <c r="H71" s="10">
        <v>0.0</v>
      </c>
      <c r="I71" s="9">
        <v>90.0</v>
      </c>
      <c r="J71" s="9">
        <v>96.3</v>
      </c>
      <c r="K71" s="9">
        <v>990.0</v>
      </c>
      <c r="L71" s="9">
        <v>1059.3</v>
      </c>
      <c r="M71" s="9" t="s">
        <v>35</v>
      </c>
      <c r="N71" s="9">
        <v>69.0</v>
      </c>
    </row>
    <row r="72">
      <c r="A72" s="3">
        <v>1271.0</v>
      </c>
      <c r="B72" s="3">
        <v>44878.0</v>
      </c>
      <c r="C72" s="4" t="s">
        <v>14</v>
      </c>
      <c r="D72" s="4">
        <v>10.0</v>
      </c>
      <c r="E72" s="4" t="s">
        <v>15</v>
      </c>
      <c r="F72" s="4" t="s">
        <v>16</v>
      </c>
      <c r="G72" s="5" t="s">
        <v>24</v>
      </c>
      <c r="H72" s="5">
        <v>0.0</v>
      </c>
      <c r="I72" s="4">
        <v>48.0</v>
      </c>
      <c r="J72" s="4">
        <v>57.12</v>
      </c>
      <c r="K72" s="4">
        <v>480.0</v>
      </c>
      <c r="L72" s="4">
        <v>571.2</v>
      </c>
      <c r="M72" s="4" t="s">
        <v>35</v>
      </c>
      <c r="N72" s="4">
        <v>91.0</v>
      </c>
    </row>
    <row r="73">
      <c r="A73" s="7">
        <v>1272.0</v>
      </c>
      <c r="B73" s="7">
        <v>44197.0</v>
      </c>
      <c r="C73" s="9" t="s">
        <v>14</v>
      </c>
      <c r="D73" s="9">
        <v>9.814487</v>
      </c>
      <c r="E73" s="9" t="s">
        <v>15</v>
      </c>
      <c r="F73" s="9" t="s">
        <v>16</v>
      </c>
      <c r="G73" s="10" t="s">
        <v>17</v>
      </c>
      <c r="H73" s="10">
        <v>-0.001</v>
      </c>
      <c r="I73" s="9">
        <v>65.0</v>
      </c>
      <c r="J73" s="9">
        <v>97.98993159</v>
      </c>
      <c r="K73" s="9">
        <v>801.8269618</v>
      </c>
      <c r="L73" s="9">
        <v>1001.2</v>
      </c>
      <c r="M73" s="9" t="s">
        <v>18</v>
      </c>
      <c r="N73" s="9">
        <v>199.0</v>
      </c>
    </row>
    <row r="74">
      <c r="A74" s="3">
        <v>1273.0</v>
      </c>
      <c r="B74" s="3">
        <v>44207.0</v>
      </c>
      <c r="C74" s="4" t="s">
        <v>19</v>
      </c>
      <c r="D74" s="4">
        <v>9.869584</v>
      </c>
      <c r="E74" s="4" t="s">
        <v>20</v>
      </c>
      <c r="F74" s="4" t="s">
        <v>21</v>
      </c>
      <c r="G74" s="5" t="s">
        <v>22</v>
      </c>
      <c r="H74" s="5">
        <v>-0.001</v>
      </c>
      <c r="I74" s="4">
        <v>58.86666667</v>
      </c>
      <c r="J74" s="4">
        <v>97.87902985</v>
      </c>
      <c r="K74" s="4">
        <v>806.6374916</v>
      </c>
      <c r="L74" s="4">
        <v>1007.8</v>
      </c>
      <c r="M74" s="4" t="s">
        <v>18</v>
      </c>
      <c r="N74" s="4">
        <v>201.0</v>
      </c>
    </row>
    <row r="75">
      <c r="A75" s="7">
        <v>1274.0</v>
      </c>
      <c r="B75" s="7">
        <v>44217.0</v>
      </c>
      <c r="C75" s="9" t="s">
        <v>23</v>
      </c>
      <c r="D75" s="9">
        <v>9.924681</v>
      </c>
      <c r="E75" s="9" t="s">
        <v>20</v>
      </c>
      <c r="F75" s="9" t="s">
        <v>16</v>
      </c>
      <c r="G75" s="10" t="s">
        <v>24</v>
      </c>
      <c r="H75" s="10">
        <v>-0.001</v>
      </c>
      <c r="I75" s="9">
        <v>52.73333333</v>
      </c>
      <c r="J75" s="9">
        <v>97.7681281</v>
      </c>
      <c r="K75" s="9">
        <v>811.4480215</v>
      </c>
      <c r="L75" s="9">
        <v>1014.5</v>
      </c>
      <c r="M75" s="9" t="s">
        <v>18</v>
      </c>
      <c r="N75" s="9">
        <v>203.0</v>
      </c>
    </row>
    <row r="76">
      <c r="A76" s="3">
        <v>1275.0</v>
      </c>
      <c r="B76" s="3">
        <v>44222.0</v>
      </c>
      <c r="C76" s="4" t="s">
        <v>25</v>
      </c>
      <c r="D76" s="4">
        <v>9.979779</v>
      </c>
      <c r="E76" s="4" t="s">
        <v>15</v>
      </c>
      <c r="F76" s="4" t="s">
        <v>16</v>
      </c>
      <c r="G76" s="5" t="s">
        <v>24</v>
      </c>
      <c r="H76" s="5">
        <v>-0.001</v>
      </c>
      <c r="I76" s="4">
        <v>46.6</v>
      </c>
      <c r="J76" s="4">
        <v>97.65722636</v>
      </c>
      <c r="K76" s="4">
        <v>816.2585513</v>
      </c>
      <c r="L76" s="4">
        <v>1021.1</v>
      </c>
      <c r="M76" s="4" t="s">
        <v>18</v>
      </c>
      <c r="N76" s="4">
        <v>205.0</v>
      </c>
    </row>
    <row r="77">
      <c r="A77" s="7">
        <v>1276.0</v>
      </c>
      <c r="B77" s="7">
        <v>44223.0</v>
      </c>
      <c r="C77" s="9" t="s">
        <v>19</v>
      </c>
      <c r="D77" s="9">
        <v>10.03488</v>
      </c>
      <c r="E77" s="9" t="s">
        <v>26</v>
      </c>
      <c r="F77" s="9" t="s">
        <v>16</v>
      </c>
      <c r="G77" s="10" t="s">
        <v>17</v>
      </c>
      <c r="H77" s="10">
        <v>-0.001</v>
      </c>
      <c r="I77" s="9">
        <v>40.46666667</v>
      </c>
      <c r="J77" s="9">
        <v>97.54632461</v>
      </c>
      <c r="K77" s="9">
        <v>821.0690812</v>
      </c>
      <c r="L77" s="9">
        <v>1027.7</v>
      </c>
      <c r="M77" s="9" t="s">
        <v>18</v>
      </c>
      <c r="N77" s="9">
        <v>207.0</v>
      </c>
    </row>
  </sheetData>
  <dataValidations>
    <dataValidation type="custom" allowBlank="1" showDropDown="1" sqref="G2:G77">
      <formula1>AND(ISNUMBER(G2),(NOT(OR(NOT(ISERROR(DATEVALUE(G2))),AND(ISNUMBER(G2),LEFT(CELL("format",G2))="D")))))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38"/>
    <col customWidth="1" min="3" max="3" width="20.25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.63"/>
    <col customWidth="1" min="8" max="8" width="29.13"/>
    <col customWidth="1" min="9" max="9" width="38.88"/>
    <col customWidth="1" min="10" max="10" width="28.25"/>
    <col customWidth="1" min="11" max="11" width="1.63"/>
    <col customWidth="1" min="13" max="13" width="20.38"/>
    <col customWidth="1" min="14" max="14" width="20.25"/>
  </cols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F2" s="25"/>
      <c r="K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F3" s="25"/>
      <c r="K3" s="28"/>
      <c r="L3" s="28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F4" s="25"/>
      <c r="K4" s="28"/>
      <c r="L4" s="28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F5" s="25"/>
      <c r="K5" s="28"/>
      <c r="L5" s="28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F6" s="25"/>
      <c r="K6" s="28"/>
      <c r="L6" s="28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F7" s="25"/>
      <c r="K7" s="28"/>
      <c r="L7" s="28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F8" s="25"/>
      <c r="K8" s="28"/>
      <c r="L8" s="28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F9" s="25"/>
      <c r="G9" s="28"/>
      <c r="H9" s="28"/>
      <c r="I9" s="28"/>
      <c r="J9" s="28"/>
      <c r="K9" s="28"/>
      <c r="L9" s="28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F10" s="25"/>
      <c r="J10" s="28"/>
      <c r="K10" s="28"/>
      <c r="L10" s="28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F11" s="25"/>
      <c r="J11" s="28"/>
      <c r="K11" s="28"/>
      <c r="L11" s="28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F12" s="25"/>
      <c r="J12" s="28"/>
      <c r="K12" s="28"/>
      <c r="L12" s="28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F13" s="25"/>
      <c r="J13" s="28"/>
      <c r="K13" s="28"/>
      <c r="L13" s="28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F14" s="25"/>
      <c r="J14" s="28"/>
      <c r="K14" s="28"/>
      <c r="L14" s="28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F15" s="25"/>
      <c r="J15" s="28"/>
      <c r="K15" s="28"/>
      <c r="L15" s="28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F16" s="25"/>
      <c r="J16" s="28"/>
      <c r="K16" s="28"/>
      <c r="L16" s="28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11" t="s">
        <v>13</v>
      </c>
    </row>
    <row r="2">
      <c r="A2" s="12">
        <v>1220.0</v>
      </c>
      <c r="B2" s="13">
        <v>44387.0</v>
      </c>
      <c r="C2" s="14" t="s">
        <v>14</v>
      </c>
      <c r="D2" s="14">
        <v>6.0</v>
      </c>
      <c r="E2" s="14" t="s">
        <v>15</v>
      </c>
      <c r="F2" s="14" t="s">
        <v>16</v>
      </c>
      <c r="G2" s="15" t="s">
        <v>24</v>
      </c>
      <c r="H2" s="15">
        <v>0.0</v>
      </c>
      <c r="I2" s="14">
        <v>55.0</v>
      </c>
      <c r="J2" s="14">
        <v>58.3</v>
      </c>
      <c r="K2" s="14">
        <v>330.0</v>
      </c>
      <c r="L2" s="14">
        <v>349.8</v>
      </c>
      <c r="M2" s="14" t="s">
        <v>27</v>
      </c>
      <c r="N2" s="16">
        <v>20.0</v>
      </c>
    </row>
    <row r="3">
      <c r="A3" s="12">
        <v>1222.0</v>
      </c>
      <c r="B3" s="13">
        <v>44393.0</v>
      </c>
      <c r="C3" s="14" t="s">
        <v>19</v>
      </c>
      <c r="D3" s="14">
        <v>8.0</v>
      </c>
      <c r="E3" s="14" t="s">
        <v>28</v>
      </c>
      <c r="F3" s="14" t="s">
        <v>16</v>
      </c>
      <c r="G3" s="15" t="s">
        <v>24</v>
      </c>
      <c r="H3" s="15">
        <v>0.0</v>
      </c>
      <c r="I3" s="14">
        <v>141.0</v>
      </c>
      <c r="J3" s="14">
        <v>149.46</v>
      </c>
      <c r="K3" s="14">
        <v>1128.0</v>
      </c>
      <c r="L3" s="14">
        <v>1195.7</v>
      </c>
      <c r="M3" s="14" t="s">
        <v>27</v>
      </c>
      <c r="N3" s="16">
        <v>68.0</v>
      </c>
    </row>
    <row r="4">
      <c r="A4" s="12">
        <v>1223.0</v>
      </c>
      <c r="B4" s="13">
        <v>44399.0</v>
      </c>
      <c r="C4" s="14" t="s">
        <v>23</v>
      </c>
      <c r="D4" s="14">
        <v>3.0</v>
      </c>
      <c r="E4" s="14" t="s">
        <v>28</v>
      </c>
      <c r="F4" s="14" t="s">
        <v>16</v>
      </c>
      <c r="G4" s="15" t="s">
        <v>24</v>
      </c>
      <c r="H4" s="15">
        <v>0.0</v>
      </c>
      <c r="I4" s="14">
        <v>18.0</v>
      </c>
      <c r="J4" s="14">
        <v>24.66</v>
      </c>
      <c r="K4" s="14">
        <v>54.0</v>
      </c>
      <c r="L4" s="14">
        <v>74.0</v>
      </c>
      <c r="M4" s="14" t="s">
        <v>27</v>
      </c>
      <c r="N4" s="16">
        <v>20.0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11" t="s">
        <v>13</v>
      </c>
    </row>
    <row r="2">
      <c r="A2" s="12">
        <v>1217.0</v>
      </c>
      <c r="B2" s="13">
        <v>44358.0</v>
      </c>
      <c r="C2" s="14" t="s">
        <v>23</v>
      </c>
      <c r="D2" s="14">
        <v>12.0</v>
      </c>
      <c r="E2" s="14" t="s">
        <v>33</v>
      </c>
      <c r="F2" s="14" t="s">
        <v>16</v>
      </c>
      <c r="G2" s="15" t="s">
        <v>24</v>
      </c>
      <c r="H2" s="15">
        <v>0.0</v>
      </c>
      <c r="I2" s="14">
        <v>89.0</v>
      </c>
      <c r="J2" s="14">
        <v>117.48</v>
      </c>
      <c r="K2" s="14">
        <v>1068.0</v>
      </c>
      <c r="L2" s="14">
        <v>1409.8</v>
      </c>
      <c r="M2" s="14" t="s">
        <v>32</v>
      </c>
      <c r="N2" s="16">
        <v>342.0</v>
      </c>
    </row>
    <row r="3">
      <c r="A3" s="12">
        <v>1218.0</v>
      </c>
      <c r="B3" s="13">
        <v>44363.0</v>
      </c>
      <c r="C3" s="14" t="s">
        <v>19</v>
      </c>
      <c r="D3" s="14">
        <v>5.0</v>
      </c>
      <c r="E3" s="14" t="s">
        <v>33</v>
      </c>
      <c r="F3" s="14" t="s">
        <v>16</v>
      </c>
      <c r="G3" s="15" t="s">
        <v>24</v>
      </c>
      <c r="H3" s="15">
        <v>0.0</v>
      </c>
      <c r="I3" s="14">
        <v>150.0</v>
      </c>
      <c r="J3" s="14">
        <v>210.0</v>
      </c>
      <c r="K3" s="14">
        <v>750.0</v>
      </c>
      <c r="L3" s="14">
        <v>1050.0</v>
      </c>
      <c r="M3" s="14" t="s">
        <v>32</v>
      </c>
      <c r="N3" s="16">
        <v>300.0</v>
      </c>
    </row>
    <row r="4">
      <c r="A4" s="12">
        <v>1224.0</v>
      </c>
      <c r="B4" s="13">
        <v>44400.0</v>
      </c>
      <c r="C4" s="14" t="s">
        <v>19</v>
      </c>
      <c r="D4" s="14">
        <v>7.0</v>
      </c>
      <c r="E4" s="14" t="s">
        <v>33</v>
      </c>
      <c r="F4" s="14" t="s">
        <v>16</v>
      </c>
      <c r="G4" s="15" t="s">
        <v>17</v>
      </c>
      <c r="H4" s="15">
        <v>0.0</v>
      </c>
      <c r="I4" s="14">
        <v>90.0</v>
      </c>
      <c r="J4" s="14">
        <v>96.3</v>
      </c>
      <c r="K4" s="14">
        <v>630.0</v>
      </c>
      <c r="L4" s="14">
        <v>674.1</v>
      </c>
      <c r="M4" s="14" t="s">
        <v>27</v>
      </c>
      <c r="N4" s="16">
        <v>44.0</v>
      </c>
    </row>
    <row r="5">
      <c r="A5" s="12">
        <v>1235.0</v>
      </c>
      <c r="B5" s="13">
        <v>44521.0</v>
      </c>
      <c r="C5" s="14" t="s">
        <v>23</v>
      </c>
      <c r="D5" s="14">
        <v>1.0</v>
      </c>
      <c r="E5" s="14" t="s">
        <v>33</v>
      </c>
      <c r="F5" s="14" t="s">
        <v>16</v>
      </c>
      <c r="G5" s="15" t="s">
        <v>17</v>
      </c>
      <c r="H5" s="15">
        <v>0.0</v>
      </c>
      <c r="I5" s="14">
        <v>112.0</v>
      </c>
      <c r="J5" s="14">
        <v>146.72</v>
      </c>
      <c r="K5" s="14">
        <v>112.0</v>
      </c>
      <c r="L5" s="14">
        <v>146.7</v>
      </c>
      <c r="M5" s="14" t="s">
        <v>35</v>
      </c>
      <c r="N5" s="16">
        <v>35.0</v>
      </c>
    </row>
    <row r="6">
      <c r="A6" s="12">
        <v>1236.0</v>
      </c>
      <c r="B6" s="13">
        <v>44549.0</v>
      </c>
      <c r="C6" s="14" t="s">
        <v>25</v>
      </c>
      <c r="D6" s="14">
        <v>3.0</v>
      </c>
      <c r="E6" s="14" t="s">
        <v>33</v>
      </c>
      <c r="F6" s="14" t="s">
        <v>16</v>
      </c>
      <c r="G6" s="15" t="s">
        <v>17</v>
      </c>
      <c r="H6" s="15">
        <v>0.0</v>
      </c>
      <c r="I6" s="14">
        <v>47.0</v>
      </c>
      <c r="J6" s="14">
        <v>53.11</v>
      </c>
      <c r="K6" s="14">
        <v>141.0</v>
      </c>
      <c r="L6" s="14">
        <v>159.3</v>
      </c>
      <c r="M6" s="14" t="s">
        <v>37</v>
      </c>
      <c r="N6" s="16">
        <v>18.0</v>
      </c>
    </row>
    <row r="7">
      <c r="A7" s="12">
        <v>1241.0</v>
      </c>
      <c r="B7" s="13">
        <v>44584.0</v>
      </c>
      <c r="C7" s="14" t="s">
        <v>19</v>
      </c>
      <c r="D7" s="14">
        <v>5.0</v>
      </c>
      <c r="E7" s="14" t="s">
        <v>33</v>
      </c>
      <c r="F7" s="14" t="s">
        <v>16</v>
      </c>
      <c r="G7" s="15" t="s">
        <v>24</v>
      </c>
      <c r="H7" s="15">
        <v>0.0</v>
      </c>
      <c r="I7" s="14">
        <v>105.0</v>
      </c>
      <c r="J7" s="14">
        <v>142.8</v>
      </c>
      <c r="K7" s="14">
        <v>525.0</v>
      </c>
      <c r="L7" s="14">
        <v>714.0</v>
      </c>
      <c r="M7" s="14" t="s">
        <v>18</v>
      </c>
      <c r="N7" s="16">
        <v>189.0</v>
      </c>
    </row>
    <row r="8">
      <c r="A8" s="12">
        <v>1244.0</v>
      </c>
      <c r="B8" s="13">
        <v>44639.0</v>
      </c>
      <c r="C8" s="14" t="s">
        <v>14</v>
      </c>
      <c r="D8" s="14">
        <v>6.0</v>
      </c>
      <c r="E8" s="14" t="s">
        <v>33</v>
      </c>
      <c r="F8" s="14" t="s">
        <v>16</v>
      </c>
      <c r="G8" s="15" t="s">
        <v>24</v>
      </c>
      <c r="H8" s="15">
        <v>0.0</v>
      </c>
      <c r="I8" s="14">
        <v>138.0</v>
      </c>
      <c r="J8" s="14">
        <v>173.88</v>
      </c>
      <c r="K8" s="14">
        <v>828.0</v>
      </c>
      <c r="L8" s="14">
        <v>1043.3</v>
      </c>
      <c r="M8" s="14" t="s">
        <v>30</v>
      </c>
      <c r="N8" s="16">
        <v>215.0</v>
      </c>
    </row>
    <row r="9">
      <c r="A9" s="12">
        <v>1248.0</v>
      </c>
      <c r="B9" s="13">
        <v>44664.0</v>
      </c>
      <c r="C9" s="14" t="s">
        <v>14</v>
      </c>
      <c r="D9" s="14">
        <v>14.0</v>
      </c>
      <c r="E9" s="14" t="s">
        <v>33</v>
      </c>
      <c r="F9" s="14" t="s">
        <v>16</v>
      </c>
      <c r="G9" s="15" t="s">
        <v>17</v>
      </c>
      <c r="H9" s="15">
        <v>0.0</v>
      </c>
      <c r="I9" s="14">
        <v>13.0</v>
      </c>
      <c r="J9" s="14">
        <v>16.64</v>
      </c>
      <c r="K9" s="14">
        <v>182.0</v>
      </c>
      <c r="L9" s="14">
        <v>233.0</v>
      </c>
      <c r="M9" s="14" t="s">
        <v>31</v>
      </c>
      <c r="N9" s="16">
        <v>51.0</v>
      </c>
    </row>
    <row r="10">
      <c r="A10" s="18">
        <v>1251.0</v>
      </c>
      <c r="B10" s="19">
        <v>44690.0</v>
      </c>
      <c r="C10" s="14" t="s">
        <v>14</v>
      </c>
      <c r="D10" s="14">
        <v>12.0</v>
      </c>
      <c r="E10" s="14" t="s">
        <v>33</v>
      </c>
      <c r="F10" s="14" t="s">
        <v>16</v>
      </c>
      <c r="G10" s="15" t="s">
        <v>24</v>
      </c>
      <c r="H10" s="15">
        <v>0.0</v>
      </c>
      <c r="I10" s="14">
        <v>134.0</v>
      </c>
      <c r="J10" s="14">
        <v>156.78</v>
      </c>
      <c r="K10" s="14">
        <v>1608.0</v>
      </c>
      <c r="L10" s="14">
        <v>1881.4</v>
      </c>
      <c r="M10" s="14" t="s">
        <v>39</v>
      </c>
      <c r="N10" s="16">
        <v>273.0</v>
      </c>
    </row>
    <row r="11">
      <c r="A11" s="18">
        <v>1256.0</v>
      </c>
      <c r="B11" s="19">
        <v>44711.0</v>
      </c>
      <c r="C11" s="14" t="s">
        <v>25</v>
      </c>
      <c r="D11" s="14">
        <v>4.0</v>
      </c>
      <c r="E11" s="14" t="s">
        <v>33</v>
      </c>
      <c r="F11" s="14" t="s">
        <v>16</v>
      </c>
      <c r="G11" s="15" t="s">
        <v>24</v>
      </c>
      <c r="H11" s="15">
        <v>0.0</v>
      </c>
      <c r="I11" s="14">
        <v>133.0</v>
      </c>
      <c r="J11" s="14">
        <v>155.61</v>
      </c>
      <c r="K11" s="14">
        <v>532.0</v>
      </c>
      <c r="L11" s="14">
        <v>622.4</v>
      </c>
      <c r="M11" s="14" t="s">
        <v>39</v>
      </c>
      <c r="N11" s="16">
        <v>90.0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11" t="s">
        <v>13</v>
      </c>
    </row>
    <row r="2">
      <c r="A2" s="12">
        <v>1225.0</v>
      </c>
      <c r="B2" s="13">
        <v>44414.0</v>
      </c>
      <c r="C2" s="14" t="s">
        <v>19</v>
      </c>
      <c r="D2" s="14">
        <v>1.0</v>
      </c>
      <c r="E2" s="14" t="s">
        <v>28</v>
      </c>
      <c r="F2" s="14" t="s">
        <v>16</v>
      </c>
      <c r="G2" s="15" t="s">
        <v>24</v>
      </c>
      <c r="H2" s="15">
        <v>0.0</v>
      </c>
      <c r="I2" s="14">
        <v>67.0</v>
      </c>
      <c r="J2" s="14">
        <v>85.76</v>
      </c>
      <c r="K2" s="14">
        <v>67.0</v>
      </c>
      <c r="L2" s="14">
        <v>85.8</v>
      </c>
      <c r="M2" s="14" t="s">
        <v>34</v>
      </c>
      <c r="N2" s="16">
        <v>19.0</v>
      </c>
    </row>
    <row r="3">
      <c r="A3" s="12">
        <v>1226.0</v>
      </c>
      <c r="B3" s="13">
        <v>44418.0</v>
      </c>
      <c r="C3" s="14" t="s">
        <v>14</v>
      </c>
      <c r="D3" s="14">
        <v>4.0</v>
      </c>
      <c r="E3" s="14" t="s">
        <v>26</v>
      </c>
      <c r="F3" s="14" t="s">
        <v>16</v>
      </c>
      <c r="G3" s="15" t="s">
        <v>24</v>
      </c>
      <c r="H3" s="15">
        <v>0.0</v>
      </c>
      <c r="I3" s="14">
        <v>133.0</v>
      </c>
      <c r="J3" s="14">
        <v>155.61</v>
      </c>
      <c r="K3" s="14">
        <v>532.0</v>
      </c>
      <c r="L3" s="14">
        <v>622.4</v>
      </c>
      <c r="M3" s="14" t="s">
        <v>34</v>
      </c>
      <c r="N3" s="16">
        <v>90.0</v>
      </c>
    </row>
    <row r="4">
      <c r="A4" s="12">
        <v>1260.0</v>
      </c>
      <c r="B4" s="13">
        <v>44788.0</v>
      </c>
      <c r="C4" s="14" t="s">
        <v>14</v>
      </c>
      <c r="D4" s="14">
        <v>10.0</v>
      </c>
      <c r="E4" s="14" t="s">
        <v>28</v>
      </c>
      <c r="F4" s="14" t="s">
        <v>16</v>
      </c>
      <c r="G4" s="15" t="s">
        <v>24</v>
      </c>
      <c r="H4" s="15">
        <v>0.0</v>
      </c>
      <c r="I4" s="14">
        <v>44.0</v>
      </c>
      <c r="J4" s="14">
        <v>48.4</v>
      </c>
      <c r="K4" s="14">
        <v>440.0</v>
      </c>
      <c r="L4" s="14">
        <v>484.0</v>
      </c>
      <c r="M4" s="14" t="s">
        <v>34</v>
      </c>
      <c r="N4" s="16">
        <v>44.0</v>
      </c>
    </row>
    <row r="5">
      <c r="A5" s="12">
        <v>1261.0</v>
      </c>
      <c r="B5" s="13">
        <v>44799.0</v>
      </c>
      <c r="C5" s="14" t="s">
        <v>25</v>
      </c>
      <c r="D5" s="14">
        <v>13.0</v>
      </c>
      <c r="E5" s="14" t="s">
        <v>20</v>
      </c>
      <c r="F5" s="14" t="s">
        <v>16</v>
      </c>
      <c r="G5" s="15" t="s">
        <v>24</v>
      </c>
      <c r="H5" s="15">
        <v>0.0</v>
      </c>
      <c r="I5" s="14">
        <v>150.0</v>
      </c>
      <c r="J5" s="14">
        <v>210.0</v>
      </c>
      <c r="K5" s="14">
        <v>1950.0</v>
      </c>
      <c r="L5" s="14">
        <v>2730.0</v>
      </c>
      <c r="M5" s="14" t="s">
        <v>34</v>
      </c>
      <c r="N5" s="16">
        <v>780.0</v>
      </c>
    </row>
  </sheetData>
  <drawing r:id="rId1"/>
  <tableParts count="1">
    <tablePart r:id="rId3"/>
  </tableParts>
</worksheet>
</file>